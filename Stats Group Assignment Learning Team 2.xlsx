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71F21168-F2C1-4A1B-A8AA-E10FA351C793}" xr6:coauthVersionLast="47" xr6:coauthVersionMax="47" xr10:uidLastSave="{00000000-0000-0000-0000-000000000000}"/>
  <bookViews>
    <workbookView xWindow="-108" yWindow="-108" windowWidth="23256" windowHeight="12576" xr2:uid="{00000000-000D-0000-FFFF-FFFF00000000}"/>
  </bookViews>
  <sheets>
    <sheet name="Business_Case" sheetId="1" r:id="rId1"/>
    <sheet name="Dataset" sheetId="2" r:id="rId2"/>
    <sheet name="Questions" sheetId="3" r:id="rId3"/>
    <sheet name="Pivot" sheetId="4" r:id="rId4"/>
    <sheet name="Deliverable 1 -Dashboard" sheetId="5" r:id="rId5"/>
    <sheet name="Deliverable 2" sheetId="7" r:id="rId6"/>
    <sheet name="Deliverable 3" sheetId="8" r:id="rId7"/>
  </sheets>
  <externalReferences>
    <externalReference r:id="rId8"/>
  </externalReferences>
  <definedNames>
    <definedName name="_xlnm._FilterDatabase" localSheetId="1" hidden="1">Dataset!$A$2:$J$241</definedName>
    <definedName name="_xlnm.Print_Area" localSheetId="4">'Deliverable 1 -Dashboard'!$A$1:$W$47</definedName>
    <definedName name="Slicer_Fiscal_Quarter">#N/A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KPzDhp80u7xUVrUBdu5wXPjHemB5VIFJ1BD5+pHjkw="/>
    </ext>
  </extLst>
</workbook>
</file>

<file path=xl/calcChain.xml><?xml version="1.0" encoding="utf-8"?>
<calcChain xmlns="http://schemas.openxmlformats.org/spreadsheetml/2006/main">
  <c r="K14" i="2" l="1"/>
  <c r="C12" i="8"/>
  <c r="C11" i="8"/>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B11" i="7"/>
  <c r="B10" i="7"/>
  <c r="B14" i="7"/>
  <c r="B13" i="7"/>
  <c r="B12"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C20" i="7"/>
  <c r="H19" i="7"/>
  <c r="H18" i="7"/>
  <c r="H17" i="7"/>
  <c r="H16" i="7"/>
  <c r="H15" i="7"/>
  <c r="H14" i="7"/>
  <c r="C14" i="7"/>
  <c r="H13" i="7"/>
  <c r="C13" i="7"/>
  <c r="H12" i="7"/>
  <c r="C12" i="7"/>
  <c r="H11" i="7"/>
  <c r="C11" i="7"/>
  <c r="H10" i="7"/>
  <c r="C10" i="7"/>
  <c r="H9" i="7"/>
  <c r="H8" i="7"/>
  <c r="H7" i="7"/>
  <c r="H6" i="7"/>
  <c r="H5" i="7"/>
  <c r="H4" i="7"/>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3" i="2"/>
  <c r="K12" i="2"/>
  <c r="K11" i="2"/>
  <c r="K10" i="2"/>
  <c r="K9" i="2"/>
  <c r="K8" i="2"/>
  <c r="K7" i="2"/>
  <c r="K6" i="2"/>
  <c r="K5" i="2"/>
  <c r="K4" i="2"/>
  <c r="K3" i="2"/>
  <c r="K241" i="2"/>
  <c r="B90" i="4"/>
  <c r="B89" i="4"/>
  <c r="B88" i="4"/>
  <c r="B87" i="4"/>
  <c r="B16" i="7" l="1"/>
  <c r="C21" i="7" l="1"/>
  <c r="C22" i="7" s="1"/>
  <c r="C16" i="7"/>
  <c r="J5" i="7" l="1"/>
  <c r="K5" i="7" s="1"/>
  <c r="J29" i="7"/>
  <c r="K29" i="7" s="1"/>
  <c r="J26" i="7"/>
  <c r="K26" i="7" s="1"/>
  <c r="J58" i="7"/>
  <c r="K58" i="7" s="1"/>
  <c r="J16" i="7"/>
  <c r="K16" i="7" s="1"/>
  <c r="J25" i="7"/>
  <c r="K25" i="7" s="1"/>
  <c r="J19" i="7"/>
  <c r="K19" i="7" s="1"/>
  <c r="J21" i="7"/>
  <c r="K21" i="7" s="1"/>
  <c r="J81" i="7"/>
  <c r="K81" i="7" s="1"/>
  <c r="J47" i="7"/>
  <c r="K47" i="7" s="1"/>
  <c r="J79" i="7"/>
  <c r="K79" i="7" s="1"/>
  <c r="J32" i="7"/>
  <c r="K32" i="7" s="1"/>
  <c r="J42" i="7"/>
  <c r="K42" i="7" s="1"/>
  <c r="J74" i="7"/>
  <c r="K74" i="7" s="1"/>
  <c r="J48" i="7"/>
  <c r="K48" i="7" s="1"/>
  <c r="J14" i="7"/>
  <c r="K14" i="7" s="1"/>
  <c r="J57" i="7"/>
  <c r="K57" i="7" s="1"/>
  <c r="J63" i="7"/>
  <c r="K63" i="7" s="1"/>
  <c r="J78" i="7"/>
  <c r="K78" i="7" s="1"/>
  <c r="J50" i="7"/>
  <c r="K50" i="7" s="1"/>
  <c r="J22" i="7"/>
  <c r="K22" i="7" s="1"/>
  <c r="J75" i="7"/>
  <c r="K75" i="7" s="1"/>
  <c r="J13" i="7"/>
  <c r="K13" i="7" s="1"/>
  <c r="J45" i="7"/>
  <c r="K45" i="7" s="1"/>
  <c r="J30" i="7"/>
  <c r="K30" i="7" s="1"/>
  <c r="J62" i="7"/>
  <c r="K62" i="7" s="1"/>
  <c r="B20" i="7"/>
  <c r="J41" i="7"/>
  <c r="K41" i="7" s="1"/>
  <c r="J11" i="7"/>
  <c r="K11" i="7" s="1"/>
  <c r="J33" i="7"/>
  <c r="K33" i="7" s="1"/>
  <c r="J51" i="7"/>
  <c r="K51" i="7" s="1"/>
  <c r="J83" i="7"/>
  <c r="K83" i="7" s="1"/>
  <c r="J38" i="7"/>
  <c r="K38" i="7" s="1"/>
  <c r="J59" i="7"/>
  <c r="K59" i="7" s="1"/>
  <c r="J52" i="7"/>
  <c r="K52" i="7" s="1"/>
  <c r="J31" i="7"/>
  <c r="K31" i="7" s="1"/>
  <c r="J60" i="7"/>
  <c r="K60" i="7" s="1"/>
  <c r="J18" i="7"/>
  <c r="K18" i="7" s="1"/>
  <c r="J8" i="7"/>
  <c r="K8" i="7" s="1"/>
  <c r="J39" i="7"/>
  <c r="K39" i="7" s="1"/>
  <c r="J9" i="7"/>
  <c r="K9" i="7" s="1"/>
  <c r="J28" i="7"/>
  <c r="K28" i="7" s="1"/>
  <c r="J53" i="7"/>
  <c r="K53" i="7" s="1"/>
  <c r="J34" i="7"/>
  <c r="K34" i="7" s="1"/>
  <c r="J66" i="7"/>
  <c r="K66" i="7" s="1"/>
  <c r="J24" i="7"/>
  <c r="K24" i="7" s="1"/>
  <c r="J77" i="7"/>
  <c r="K77" i="7" s="1"/>
  <c r="J20" i="7"/>
  <c r="K20" i="7" s="1"/>
  <c r="J37" i="7"/>
  <c r="K37" i="7" s="1"/>
  <c r="J23" i="7"/>
  <c r="K23" i="7" s="1"/>
  <c r="J55" i="7"/>
  <c r="K55" i="7" s="1"/>
  <c r="J40" i="7"/>
  <c r="K40" i="7" s="1"/>
  <c r="J73" i="7"/>
  <c r="K73" i="7" s="1"/>
  <c r="J70" i="7"/>
  <c r="K70" i="7" s="1"/>
  <c r="J36" i="7"/>
  <c r="K36" i="7" s="1"/>
  <c r="J10" i="7"/>
  <c r="K10" i="7" s="1"/>
  <c r="J49" i="7"/>
  <c r="K49" i="7" s="1"/>
  <c r="J27" i="7"/>
  <c r="K27" i="7" s="1"/>
  <c r="J7" i="7"/>
  <c r="K7" i="7" s="1"/>
  <c r="J44" i="7"/>
  <c r="K44" i="7" s="1"/>
  <c r="J12" i="7"/>
  <c r="K12" i="7" s="1"/>
  <c r="J46" i="7"/>
  <c r="K46" i="7" s="1"/>
  <c r="J64" i="7"/>
  <c r="K64" i="7" s="1"/>
  <c r="J4" i="7"/>
  <c r="K4" i="7" s="1"/>
  <c r="J56" i="7"/>
  <c r="K56" i="7" s="1"/>
  <c r="J61" i="7"/>
  <c r="K61" i="7" s="1"/>
  <c r="J35" i="7"/>
  <c r="K35" i="7" s="1"/>
  <c r="J67" i="7"/>
  <c r="K67" i="7" s="1"/>
  <c r="J76" i="7"/>
  <c r="K76" i="7" s="1"/>
  <c r="J82" i="7"/>
  <c r="K82" i="7" s="1"/>
  <c r="J72" i="7"/>
  <c r="K72" i="7" s="1"/>
  <c r="J68" i="7"/>
  <c r="K68" i="7" s="1"/>
  <c r="J65" i="7"/>
  <c r="K65" i="7" s="1"/>
  <c r="J71" i="7"/>
  <c r="K71" i="7" s="1"/>
  <c r="J6" i="7"/>
  <c r="K6" i="7" s="1"/>
  <c r="J54" i="7"/>
  <c r="K54" i="7" s="1"/>
  <c r="J17" i="7"/>
  <c r="K17" i="7" s="1"/>
  <c r="J15" i="7"/>
  <c r="K15" i="7" s="1"/>
  <c r="J80" i="7"/>
  <c r="K80" i="7" s="1"/>
  <c r="J69" i="7"/>
  <c r="K69" i="7" s="1"/>
  <c r="J43" i="7"/>
  <c r="K43" i="7" s="1"/>
  <c r="K84" i="7" l="1"/>
  <c r="B21" i="7" s="1"/>
  <c r="D21" i="7" s="1"/>
  <c r="D20" i="7"/>
  <c r="B22" i="7" l="1"/>
  <c r="E20" i="7"/>
  <c r="F20" i="7" s="1"/>
</calcChain>
</file>

<file path=xl/sharedStrings.xml><?xml version="1.0" encoding="utf-8"?>
<sst xmlns="http://schemas.openxmlformats.org/spreadsheetml/2006/main" count="1385" uniqueCount="150">
  <si>
    <t>MICROSOFT CORPORATION: REGIONAL &amp; SEGMENT PERFORMANCE ANALYSIS (FY24–FY25)</t>
  </si>
  <si>
    <t>GROUP PROJECT DELIVERABLES</t>
  </si>
  <si>
    <t>Course</t>
  </si>
  <si>
    <t>SADM | Group Assignment | Total Marks: 15</t>
  </si>
  <si>
    <t>Record_ID</t>
  </si>
  <si>
    <t>DELIVERABLE 1 — Dashboard</t>
  </si>
  <si>
    <t>Background</t>
  </si>
  <si>
    <t>Fiscal_Quarter</t>
  </si>
  <si>
    <t>Microsoft Corporation operates through three major business segments: Productivity and Business Processes, Intelligent Cloud, and More Personal Computing. It serves three customer groups Enterprise, Small and Medium Businesses (SMBs), and Consumers across five global regions: North America, Europe, Asia Pacific, Latin America, and the Middle East &amp; Africa. Every quarter, Microsoft's regional and product teams report key business metrics such as units sold, revenue, operating cost, and customer satisfaction. Managers use this data to monitor business performance, compare regions and product segments, identify unusual patterns, and make informed business decisions.</t>
  </si>
  <si>
    <t>Region</t>
  </si>
  <si>
    <t>Your Role</t>
  </si>
  <si>
    <t>Business_Segment</t>
  </si>
  <si>
    <t>You are a Business Analyst Intern in Microsoft's Corporate Strategy team. The Head of Strategy has asked you to analyze the last two fiscal years of quarterly sales performance data (FY24–FY25) and present data-backed recommendations for the FY26 planning cycle.</t>
  </si>
  <si>
    <t>Product_Line</t>
  </si>
  <si>
    <t>Business Problem</t>
  </si>
  <si>
    <t>Customer_Type</t>
  </si>
  <si>
    <t>Senior management wants to know: (1) which regions and segments are driving profitable growth, (2) wWhere high operating costs are reducing profits, (3) which product lines and customer types deserve more investment, and (4) where customer satisfaction is slipping and needs corrective action. Your analysis, built entirely in Excel, will directly inform these decisions.</t>
  </si>
  <si>
    <t>Units_Sold</t>
  </si>
  <si>
    <t>The Dataset</t>
  </si>
  <si>
    <t>Build a one-page interactive dashboard with KPI cards for Total Revenue, Total Units Sold, Total Operating Cost, and Profit (Revenue − Operating Cost). Which fiscal quarter had the highest profit, and which had the lowest?</t>
  </si>
  <si>
    <t>Revenue_USD_Million</t>
  </si>
  <si>
    <t>The 'Dataset' sheet contains 240 simulated transaction-level records for FY24–FY25, with 10 variables covering time (Fiscal Quarter), geography (Region), business structure (Business Segment, Product Line, Customer Type), and performance (Units Sold, Revenue, Operating Cost, Customer Satisfaction Score). Figures are simulated for academic use and do not represent Microsoft's actual reported financials.</t>
  </si>
  <si>
    <t>Operating_Cost_USD_Million</t>
  </si>
  <si>
    <t>What You Must Do</t>
  </si>
  <si>
    <t>Customer_Satisfaction_Score</t>
  </si>
  <si>
    <t xml:space="preserve">Use Excel's analytical toolkit — Sorting, Filtering, PivotTables, PivotCharts, Descriptive Statistics, the Data Analysis ToolPak (Hypothesis Testing, Correlation, Regression), and a one-page interactive dashboard — to complete the 11 deliverables listed on the 'Questions' sheet. </t>
  </si>
  <si>
    <t>Show a trend chart of Revenue by Fiscal Quarter (FY24 vs FY25) on your dashboard. Is Microsoft's revenue growing, declining, or flat overall, and what does the pattern suggest for FY26 planning?</t>
  </si>
  <si>
    <t>Compare Revenue across the five Regions on your dashboard (chart or PivotTable). Which region is the strongest performer and which is the weakest, and what should management do about the weakest region?</t>
  </si>
  <si>
    <t>Q1 FY24</t>
  </si>
  <si>
    <t>North America</t>
  </si>
  <si>
    <t>Productivity and Business Processes</t>
  </si>
  <si>
    <t>Compare performance across Business Segments and Product Lines on your dashboard. Which segment or product line deserves more investment in FY26, and which is underperforming?</t>
  </si>
  <si>
    <t>LinkedIn</t>
  </si>
  <si>
    <t>Enterprise</t>
  </si>
  <si>
    <t>Compare average Customer Satisfaction Score across Customer Types and Regions on your dashboard. Where is customer satisfaction weakest, and what corrective action is most urgently needed?</t>
  </si>
  <si>
    <t>DELIVERABLE 2 — Hypothesis Testing</t>
  </si>
  <si>
    <t>Microsoft's regional leadership believes that Enterprise customers report similarly satisfied levels no matter which region serves them, so no single region needs special attention. Frame this as a proper hypothesis (state H₀ and H₁), choose the correct statistical test to check this belief using the Customer Satisfaction Score for Enterprise customers across all five Regions, and test it at the 5% significance level. Report the test statistic, decision, conclusion, and what you would tell management — does the belief hold, and if not, which region(s) are pulling the average down?</t>
  </si>
  <si>
    <t>Office 365</t>
  </si>
  <si>
    <t>DELIVERABLE 3 — Correlation</t>
  </si>
  <si>
    <t>For the business question “What factors drive Microsoft's Revenue?”, Plot and identify the dependent (Y) variable and at least two independent (X) variable candidates from the dataset, and justify your choice in one line.</t>
  </si>
  <si>
    <t>Intelligent Cloud</t>
  </si>
  <si>
    <t>Calculate the correlation coefficient between (a) Units Sold and Revenue, and (b) Operating Cost and Revenue. Which relationship is stronger, and what does that tell management about what really drives revenue?</t>
  </si>
  <si>
    <t>Windows Server</t>
  </si>
  <si>
    <t>SMB</t>
  </si>
  <si>
    <t>Plot a scatter chart of Revenue (Y-axis) vs Units Sold (X-axis) on your dashboard or in Excel. Does the visual pattern match the correlation value from Deliverable 8? What does the shape of the scatter plot suggest for Microsoft's sales strategy?</t>
  </si>
  <si>
    <t>DELIVERABLE 4 — Linear Regression</t>
  </si>
  <si>
    <t>Azure</t>
  </si>
  <si>
    <t>Frame the business question, then run a linear regression of Revenue (Y) on Units Sold (X). Report the regression equation, R², coefficients. Use the equation to predict Revenue for a given Units Sold value (e.g., 5,000 units), and explain the managerial implication of this prediction.</t>
  </si>
  <si>
    <t>Run a linear regression of Revenue (Y) on Customer Satisfaction Score (X). Report the regression equation, R², coefficients. Use the equation to estimate the Revenue impact if satisfaction improves by 1 point, and explain what this means for investing in customer experience.</t>
  </si>
  <si>
    <t>More Personal Computing</t>
  </si>
  <si>
    <t>Windows</t>
  </si>
  <si>
    <t>Surface</t>
  </si>
  <si>
    <t>Europe</t>
  </si>
  <si>
    <t>GitHub</t>
  </si>
  <si>
    <t>Xbox</t>
  </si>
  <si>
    <t>Asia Pacific</t>
  </si>
  <si>
    <t>Dynamics 365</t>
  </si>
  <si>
    <t>Consumer</t>
  </si>
  <si>
    <t>Latin America</t>
  </si>
  <si>
    <t>Middle East &amp; Africa</t>
  </si>
  <si>
    <t>Q2 FY24</t>
  </si>
  <si>
    <t>Q3 FY24</t>
  </si>
  <si>
    <t>Q4 FY24</t>
  </si>
  <si>
    <t>Q1 FY25</t>
  </si>
  <si>
    <t>Q2 FY25</t>
  </si>
  <si>
    <t>Q3 FY25</t>
  </si>
  <si>
    <t>Q4 FY25</t>
  </si>
  <si>
    <t>Profit</t>
  </si>
  <si>
    <t>Row Labels</t>
  </si>
  <si>
    <t>Grand Total</t>
  </si>
  <si>
    <t>Sum of Profit</t>
  </si>
  <si>
    <t>Sum of Revenue_USD_Million</t>
  </si>
  <si>
    <t>Sum of Operating_Cost_USD_Million</t>
  </si>
  <si>
    <t>KPI Cards</t>
  </si>
  <si>
    <t>Total Revenue</t>
  </si>
  <si>
    <t>Total Units Sold</t>
  </si>
  <si>
    <t>Total Operating Cost</t>
  </si>
  <si>
    <t>Total Profit</t>
  </si>
  <si>
    <t>Sum of Units_Sold</t>
  </si>
  <si>
    <t>Column Labels</t>
  </si>
  <si>
    <t>Average of Customer_Satisfaction_Score</t>
  </si>
  <si>
    <t>Deliverable 2 - Hypothesis Testing</t>
  </si>
  <si>
    <t>Business question</t>
  </si>
  <si>
    <t>Do Enterprise customers have similar satisfaction across regions?</t>
  </si>
  <si>
    <t>H0</t>
  </si>
  <si>
    <t>Average satisfaction is the same across all five regions.</t>
  </si>
  <si>
    <t>H1</t>
  </si>
  <si>
    <t>At least one region has a different average satisfaction.</t>
  </si>
  <si>
    <t>Test</t>
  </si>
  <si>
    <t>Enterprise satisfaction by region</t>
  </si>
  <si>
    <t>Responses</t>
  </si>
  <si>
    <t>Average score</t>
  </si>
  <si>
    <t>ANOVA summary</t>
  </si>
  <si>
    <t>Source</t>
  </si>
  <si>
    <t>SS</t>
  </si>
  <si>
    <t>df</t>
  </si>
  <si>
    <t>MS</t>
  </si>
  <si>
    <t>F</t>
  </si>
  <si>
    <t>p-value</t>
  </si>
  <si>
    <t>Between regions</t>
  </si>
  <si>
    <t>Within regions</t>
  </si>
  <si>
    <t>Total</t>
  </si>
  <si>
    <t>Conclusion</t>
  </si>
  <si>
    <t>Decision</t>
  </si>
  <si>
    <t>Fail to reject H0</t>
  </si>
  <si>
    <t>Interpretation</t>
  </si>
  <si>
    <t>Management action</t>
  </si>
  <si>
    <t>Working (simple calculation)</t>
  </si>
  <si>
    <t>Score</t>
  </si>
  <si>
    <t>Difference</t>
  </si>
  <si>
    <t>Difference²</t>
  </si>
  <si>
    <t>One-way ANOVA at 5% significance level.</t>
  </si>
  <si>
    <t>Overall Enterprise average</t>
  </si>
  <si>
    <t>How the test works</t>
  </si>
  <si>
    <t>1. First, we found the average Enterprise satisfaction for each region.</t>
  </si>
  <si>
    <t>2. Then, we found the overall average for all Enterprise customers.</t>
  </si>
  <si>
    <t>3. Next, we compared the five regional averages with the overall average.</t>
  </si>
  <si>
    <t>4. We used ANOVA to check whether these differences are statistically significant.</t>
  </si>
  <si>
    <t>5. Finally, we compared the p-value with 0.05 to make the decision.</t>
  </si>
  <si>
    <t>The regional averages are a little different, but the difference is not statistically significant at the 5% level (p = 0.651).</t>
  </si>
  <si>
    <t>So, we would not give one region special attention based only on this test. We would keep watching the lower scores and check the actual customer issues behind them.</t>
  </si>
  <si>
    <t>Within SS</t>
  </si>
  <si>
    <t>Deliverable 3 - Correlation</t>
  </si>
  <si>
    <t>What factors are related to Revenue?</t>
  </si>
  <si>
    <t>Variable</t>
  </si>
  <si>
    <t>Role</t>
  </si>
  <si>
    <t>Why use it?</t>
  </si>
  <si>
    <t>Revenue</t>
  </si>
  <si>
    <t>Y (dependent)</t>
  </si>
  <si>
    <t>Revenue is the result we want to understand.</t>
  </si>
  <si>
    <t>Units Sold</t>
  </si>
  <si>
    <t>X candidate</t>
  </si>
  <si>
    <t>Units Sold can affect Revenue because selling more units can increase sales.</t>
  </si>
  <si>
    <t>Operating Cost</t>
  </si>
  <si>
    <t>Operating Cost shows the scale of business activity and may move with Revenue.</t>
  </si>
  <si>
    <t>Correlation results</t>
  </si>
  <si>
    <t>X variable</t>
  </si>
  <si>
    <t>Y variable</t>
  </si>
  <si>
    <t>Correlation (r)</t>
  </si>
  <si>
    <t>Simple reading</t>
  </si>
  <si>
    <t>Revenue and Units Sold move in the same direction. The relationship is fairly strong.</t>
  </si>
  <si>
    <t>Revenue and Operating Cost move very closely together.</t>
  </si>
  <si>
    <t>How we did the calculation</t>
  </si>
  <si>
    <t>1. First, we took Revenue as Y because it is the result we want to understand.</t>
  </si>
  <si>
    <t>2. Then, we chose Units Sold and Operating Cost as possible X variables.</t>
  </si>
  <si>
    <t>3. We used the CORREL formula to find how closely each X variable is related to Revenue.</t>
  </si>
  <si>
    <t>4. A positive value means the two variables tend to increase together. A value closer to +1 means a stronger relationship.</t>
  </si>
  <si>
    <t>Revenue has a positive relationship with both Units Sold and Operating Cost. The relationship with Operating Cost is much stronger (0.959) than with Units Sold (0.673).</t>
  </si>
  <si>
    <t>Management should keep an eye on operating costs. The strong relationship with Revenue is useful, but higher costs should be supported by enough additional revenue.</t>
  </si>
  <si>
    <r>
      <rPr>
        <sz val="11"/>
        <color theme="1"/>
        <rFont val="Calibri"/>
        <family val="2"/>
        <scheme val="minor"/>
      </rPr>
      <t xml:space="preserve">The scatter plot shows a positive relationship between Units Sold and Revenue. As units sold increase, revenue generally increases. This is consistent with the correlation value of </t>
    </r>
    <r>
      <rPr>
        <b/>
        <sz val="11"/>
        <color theme="1"/>
        <rFont val="Calibri"/>
        <family val="2"/>
        <scheme val="minor"/>
      </rPr>
      <t>0.674</t>
    </r>
    <r>
      <rPr>
        <sz val="11"/>
        <color theme="1"/>
        <rFont val="Calibri"/>
        <family val="2"/>
        <scheme val="minor"/>
      </rPr>
      <t>, which indicates a moderately strong positive relationship.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</si>
</sst>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
    <numFmt numFmtId="166" formatCode="[$$-1009]#,##0.00"/>
    <numFmt numFmtId="167" formatCode="_ * #,##0.0_ ;_ * \-#,##0.0_ ;_ * &quot;-&quot;??_ ;_ @_ "/>
    <numFmt numFmtId="168" formatCode="_ * #,##0_ ;_ * \-#,##0_ ;_ * &quot;-&quot;??_ ;_ @_ "/>
    <numFmt numFmtId="169" formatCode="0.0000"/>
    <numFmt numFmtId="170" formatCode="0.000"/>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b/>
      <sz val="16"/>
      <color rgb="FFFFFFFF"/>
      <name val="Arial"/>
    </font>
    <font>
      <b/>
      <sz val="11"/>
      <color rgb="FF1F3864"/>
      <name val="Arial"/>
    </font>
    <font>
      <i/>
      <sz val="9"/>
      <color rgb="FF7F7F7F"/>
      <name val="Arial"/>
    </font>
    <font>
      <sz val="11"/>
      <name val="Calibri"/>
    </font>
    <font>
      <sz val="10"/>
      <color theme="1"/>
      <name val="Arial"/>
    </font>
    <font>
      <b/>
      <sz val="10"/>
      <color rgb="FFFFFFFF"/>
      <name val="Arial"/>
    </font>
    <font>
      <b/>
      <sz val="11"/>
      <color theme="1"/>
      <name val="Calibri"/>
    </font>
    <font>
      <sz val="10"/>
      <color rgb="FF000000"/>
      <name val="Arial"/>
    </font>
    <font>
      <b/>
      <sz val="11"/>
      <color rgb="FF000000"/>
      <name val="Calibri"/>
    </font>
    <font>
      <sz val="11"/>
      <color theme="1"/>
      <name val="Calibri"/>
      <scheme val="minor"/>
    </font>
    <font>
      <b/>
      <sz val="11"/>
      <color theme="0"/>
      <name val="Calibri"/>
      <family val="2"/>
      <scheme val="minor"/>
    </font>
    <font>
      <b/>
      <sz val="11"/>
      <color theme="1"/>
      <name val="Calibri"/>
      <family val="2"/>
      <scheme val="minor"/>
    </font>
    <font>
      <b/>
      <sz val="13"/>
      <color rgb="FFFFFFFF"/>
      <name val="Calibri"/>
      <family val="2"/>
    </font>
    <font>
      <b/>
      <sz val="11"/>
      <name val="Calibri"/>
      <family val="2"/>
    </font>
    <font>
      <b/>
      <sz val="12"/>
      <color theme="0"/>
      <name val="Calibri"/>
      <family val="2"/>
    </font>
    <font>
      <b/>
      <sz val="11"/>
      <color theme="1"/>
      <name val="Calibri"/>
      <family val="2"/>
    </font>
    <font>
      <b/>
      <sz val="11"/>
      <color theme="0"/>
      <name val="Calibri"/>
      <family val="2"/>
    </font>
  </fonts>
  <fills count="8">
    <fill>
      <patternFill patternType="none"/>
    </fill>
    <fill>
      <patternFill patternType="gray125"/>
    </fill>
    <fill>
      <patternFill patternType="solid">
        <fgColor rgb="FF1F3864"/>
        <bgColor rgb="FF1F3864"/>
      </patternFill>
    </fill>
    <fill>
      <patternFill patternType="solid">
        <fgColor rgb="FFDCE6F1"/>
        <bgColor rgb="FFDCE6F1"/>
      </patternFill>
    </fill>
    <fill>
      <patternFill patternType="solid">
        <fgColor rgb="FFB8CCE4"/>
        <bgColor rgb="FFB8CCE4"/>
      </patternFill>
    </fill>
    <fill>
      <patternFill patternType="solid">
        <fgColor theme="7" tint="-0.249977111117893"/>
        <bgColor indexed="64"/>
      </patternFill>
    </fill>
    <fill>
      <patternFill patternType="solid">
        <fgColor theme="7" tint="-0.499984740745262"/>
        <bgColor indexed="64"/>
      </patternFill>
    </fill>
    <fill>
      <patternFill patternType="solid">
        <fgColor theme="0" tint="-0.14999847407452621"/>
        <bgColor indexed="64"/>
      </patternFill>
    </fill>
  </fills>
  <borders count="5">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164" fontId="13" fillId="0" borderId="0" applyFont="0" applyFill="0" applyBorder="0" applyAlignment="0" applyProtection="0"/>
  </cellStyleXfs>
  <cellXfs count="59">
    <xf numFmtId="0" fontId="0" fillId="0" borderId="0" xfId="0"/>
    <xf numFmtId="0" fontId="3" fillId="0" borderId="0" xfId="0" applyFont="1" applyAlignment="1">
      <alignment vertical="center"/>
    </xf>
    <xf numFmtId="0" fontId="4" fillId="2" borderId="1" xfId="0" applyFont="1" applyFill="1" applyBorder="1" applyAlignment="1">
      <alignment horizontal="left" vertical="center"/>
    </xf>
    <xf numFmtId="0" fontId="5" fillId="0" borderId="0" xfId="0" applyFont="1" applyAlignment="1">
      <alignment horizontal="left" vertical="center"/>
    </xf>
    <xf numFmtId="0" fontId="8" fillId="0" borderId="0" xfId="0" applyFont="1" applyAlignment="1">
      <alignment horizontal="left" vertical="top" wrapText="1"/>
    </xf>
    <xf numFmtId="0" fontId="8" fillId="0" borderId="0" xfId="0" applyFont="1"/>
    <xf numFmtId="0" fontId="9" fillId="2" borderId="4" xfId="0" applyFont="1" applyFill="1" applyBorder="1" applyAlignment="1">
      <alignment horizontal="center" vertical="center" wrapText="1"/>
    </xf>
    <xf numFmtId="0" fontId="10" fillId="4" borderId="1" xfId="0" applyFont="1" applyFill="1" applyBorder="1" applyAlignment="1">
      <alignment horizontal="left" vertical="center"/>
    </xf>
    <xf numFmtId="0" fontId="8" fillId="0" borderId="4" xfId="0" applyFont="1" applyBorder="1" applyAlignment="1">
      <alignment horizontal="center" vertical="center"/>
    </xf>
    <xf numFmtId="3" fontId="8" fillId="0" borderId="4" xfId="0" applyNumberFormat="1" applyFont="1" applyBorder="1" applyAlignment="1">
      <alignment horizontal="center" vertical="center"/>
    </xf>
    <xf numFmtId="0" fontId="8" fillId="0" borderId="0" xfId="0" applyFont="1" applyAlignment="1">
      <alignment wrapText="1"/>
    </xf>
    <xf numFmtId="4" fontId="8" fillId="0" borderId="4" xfId="0" applyNumberFormat="1" applyFont="1" applyBorder="1" applyAlignment="1">
      <alignment horizontal="center" vertical="center"/>
    </xf>
    <xf numFmtId="165" fontId="8" fillId="0" borderId="4" xfId="0" applyNumberFormat="1" applyFont="1" applyBorder="1" applyAlignment="1">
      <alignment horizontal="center" vertical="center"/>
    </xf>
    <xf numFmtId="0" fontId="12" fillId="4" borderId="1" xfId="0" applyFont="1" applyFill="1" applyBorder="1" applyAlignment="1">
      <alignment horizontal="left" vertical="center"/>
    </xf>
    <xf numFmtId="0" fontId="3" fillId="0" borderId="0" xfId="0" applyFont="1" applyAlignment="1">
      <alignment wrapText="1"/>
    </xf>
    <xf numFmtId="4" fontId="0" fillId="0" borderId="0" xfId="0" applyNumberFormat="1"/>
    <xf numFmtId="0" fontId="0" fillId="0" borderId="0" xfId="0" pivotButton="1"/>
    <xf numFmtId="0" fontId="0" fillId="0" borderId="0" xfId="0" applyAlignment="1">
      <alignment horizontal="left"/>
    </xf>
    <xf numFmtId="0" fontId="15" fillId="0" borderId="0" xfId="0" applyFont="1"/>
    <xf numFmtId="0" fontId="2" fillId="0" borderId="0" xfId="0" applyFont="1" applyAlignment="1">
      <alignment vertical="center" wrapText="1"/>
    </xf>
    <xf numFmtId="166" fontId="2" fillId="0" borderId="0" xfId="0" applyNumberFormat="1" applyFont="1" applyAlignment="1">
      <alignment vertical="center" wrapText="1"/>
    </xf>
    <xf numFmtId="0" fontId="0" fillId="5" borderId="0" xfId="0" applyFill="1"/>
    <xf numFmtId="14" fontId="0" fillId="0" borderId="0" xfId="0" pivotButton="1" applyNumberFormat="1"/>
    <xf numFmtId="14" fontId="0" fillId="0" borderId="0" xfId="0" applyNumberFormat="1" applyAlignment="1">
      <alignment horizontal="left"/>
    </xf>
    <xf numFmtId="168" fontId="2" fillId="0" borderId="0" xfId="1" applyNumberFormat="1" applyFont="1" applyAlignment="1">
      <alignment vertical="center" wrapText="1"/>
    </xf>
    <xf numFmtId="167" fontId="2" fillId="0" borderId="0" xfId="0" applyNumberFormat="1" applyFont="1" applyAlignment="1">
      <alignment vertical="center" wrapText="1"/>
    </xf>
    <xf numFmtId="0" fontId="0" fillId="0" borderId="3" xfId="0" applyBorder="1"/>
    <xf numFmtId="0" fontId="0" fillId="0" borderId="4" xfId="0" applyBorder="1"/>
    <xf numFmtId="2" fontId="0" fillId="0" borderId="4" xfId="0" applyNumberFormat="1" applyBorder="1"/>
    <xf numFmtId="0" fontId="17" fillId="0" borderId="4" xfId="0" applyFont="1" applyBorder="1"/>
    <xf numFmtId="0" fontId="19" fillId="0" borderId="3" xfId="0" applyFont="1" applyBorder="1" applyAlignment="1">
      <alignment vertical="center"/>
    </xf>
    <xf numFmtId="0" fontId="0" fillId="0" borderId="3" xfId="0" applyBorder="1" applyAlignment="1">
      <alignment vertical="center" wrapText="1"/>
    </xf>
    <xf numFmtId="0" fontId="20" fillId="6" borderId="4" xfId="0" applyFont="1" applyFill="1" applyBorder="1"/>
    <xf numFmtId="0" fontId="17" fillId="7" borderId="4" xfId="0" applyFont="1" applyFill="1" applyBorder="1"/>
    <xf numFmtId="0" fontId="0" fillId="0" borderId="4" xfId="0" applyBorder="1" applyAlignment="1">
      <alignment wrapText="1"/>
    </xf>
    <xf numFmtId="169" fontId="0" fillId="0" borderId="4" xfId="0" applyNumberFormat="1" applyBorder="1" applyAlignment="1">
      <alignment wrapText="1"/>
    </xf>
    <xf numFmtId="0" fontId="14" fillId="6" borderId="3" xfId="0" applyFont="1" applyFill="1" applyBorder="1"/>
    <xf numFmtId="0" fontId="0" fillId="6" borderId="3" xfId="0" applyFill="1" applyBorder="1"/>
    <xf numFmtId="0" fontId="19" fillId="0" borderId="3" xfId="0" applyFont="1" applyBorder="1" applyAlignment="1">
      <alignment vertical="top"/>
    </xf>
    <xf numFmtId="0" fontId="19" fillId="0" borderId="3" xfId="0" applyFont="1" applyBorder="1"/>
    <xf numFmtId="170" fontId="0" fillId="0" borderId="4" xfId="0" applyNumberFormat="1" applyBorder="1" applyAlignment="1">
      <alignment wrapText="1"/>
    </xf>
    <xf numFmtId="0" fontId="2" fillId="0" borderId="4" xfId="0" applyFont="1" applyBorder="1" applyAlignment="1">
      <alignment wrapText="1"/>
    </xf>
    <xf numFmtId="0" fontId="6" fillId="0" borderId="0" xfId="0" applyFont="1" applyAlignment="1">
      <alignment horizontal="left" vertical="top" wrapText="1"/>
    </xf>
    <xf numFmtId="0" fontId="0" fillId="0" borderId="0" xfId="0"/>
    <xf numFmtId="0" fontId="4" fillId="2" borderId="2" xfId="0" applyFont="1" applyFill="1" applyBorder="1" applyAlignment="1">
      <alignment horizontal="left" vertical="center" wrapText="1"/>
    </xf>
    <xf numFmtId="0" fontId="7" fillId="0" borderId="3" xfId="0" applyFont="1" applyBorder="1"/>
    <xf numFmtId="0" fontId="5" fillId="3" borderId="2" xfId="0" applyFont="1" applyFill="1" applyBorder="1" applyAlignment="1">
      <alignment vertical="center"/>
    </xf>
    <xf numFmtId="0" fontId="11" fillId="0" borderId="0" xfId="0" applyFont="1" applyAlignment="1">
      <alignment vertical="top" wrapText="1"/>
    </xf>
    <xf numFmtId="0" fontId="0" fillId="0" borderId="0" xfId="0" applyAlignment="1">
      <alignment horizontal="left" vertical="top" wrapText="1"/>
    </xf>
    <xf numFmtId="0" fontId="0" fillId="0" borderId="3" xfId="0" applyBorder="1"/>
    <xf numFmtId="0" fontId="0" fillId="0" borderId="0" xfId="0" applyAlignment="1">
      <alignment vertical="center" wrapText="1"/>
    </xf>
    <xf numFmtId="0" fontId="0" fillId="0" borderId="0" xfId="0" applyAlignment="1">
      <alignment vertical="top" wrapText="1"/>
    </xf>
    <xf numFmtId="0" fontId="0" fillId="0" borderId="3" xfId="0" applyBorder="1" applyAlignment="1">
      <alignment vertical="top"/>
    </xf>
    <xf numFmtId="0" fontId="16" fillId="6" borderId="0" xfId="0" applyFont="1" applyFill="1"/>
    <xf numFmtId="0" fontId="18" fillId="6" borderId="0" xfId="0" applyFont="1" applyFill="1"/>
    <xf numFmtId="0" fontId="20" fillId="6" borderId="0" xfId="0" applyFont="1" applyFill="1"/>
    <xf numFmtId="0" fontId="0" fillId="0" borderId="0" xfId="0" applyAlignment="1">
      <alignment wrapText="1"/>
    </xf>
    <xf numFmtId="0" fontId="15" fillId="0" borderId="0" xfId="0" applyFont="1" applyAlignment="1">
      <alignment horizontal="left" wrapText="1"/>
    </xf>
    <xf numFmtId="0" fontId="20" fillId="5" borderId="0" xfId="0" applyFont="1" applyFill="1"/>
  </cellXfs>
  <cellStyles count="2">
    <cellStyle name="Comma" xfId="1" builtinId="3"/>
    <cellStyle name="Normal" xfId="0" builtinId="0"/>
  </cellStyles>
  <dxfs count="10">
    <dxf>
      <numFmt numFmtId="166" formatCode="[$$-1009]#,##0.00"/>
      <alignment vertical="center" wrapText="1"/>
    </dxf>
    <dxf>
      <numFmt numFmtId="166" formatCode="[$$-1009]#,##0.00"/>
      <alignment vertical="center" wrapText="1"/>
    </dxf>
    <dxf>
      <numFmt numFmtId="166" formatCode="[$$-1009]#,##0.00"/>
      <alignment vertical="center" wrapText="1"/>
    </dxf>
    <dxf>
      <numFmt numFmtId="166" formatCode="[$$-1009]#,##0.00"/>
      <alignment vertical="center" wrapText="1"/>
    </dxf>
    <dxf>
      <numFmt numFmtId="171" formatCode="dd/mm/yyyy"/>
    </dxf>
    <dxf>
      <numFmt numFmtId="171" formatCode="dd/mm/yyyy"/>
    </dxf>
    <dxf>
      <numFmt numFmtId="171" formatCode="dd/mm/yyyy"/>
    </dxf>
    <dxf>
      <numFmt numFmtId="166" formatCode="[$$-1009]#,##0.00"/>
      <alignment vertical="center" wrapText="1"/>
    </dxf>
    <dxf>
      <numFmt numFmtId="167" formatCode="_ * #,##0.0_ ;_ * \-#,##0.0_ ;_ * &quot;-&quot;??_ ;_ @_ "/>
    </dxf>
    <dxf>
      <numFmt numFmtId="166" formatCode="[$$-1009]#,##0.00"/>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2.xlsx]Pivot!PivotTable1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2"/>
                </a:solidFill>
                <a:latin typeface="Cambria" panose="02040503050406030204" pitchFamily="18" charset="0"/>
                <a:ea typeface="Cambria" panose="02040503050406030204" pitchFamily="18" charset="0"/>
              </a:rPr>
              <a:t>Quarter</a:t>
            </a:r>
            <a:r>
              <a:rPr lang="en-US" baseline="0">
                <a:solidFill>
                  <a:schemeClr val="bg2"/>
                </a:solidFill>
                <a:latin typeface="Cambria" panose="02040503050406030204" pitchFamily="18" charset="0"/>
                <a:ea typeface="Cambria" panose="02040503050406030204" pitchFamily="18" charset="0"/>
              </a:rPr>
              <a:t> Wise Sales</a:t>
            </a:r>
          </a:p>
        </c:rich>
      </c:tx>
      <c:layout>
        <c:manualLayout>
          <c:xMode val="edge"/>
          <c:yMode val="edge"/>
          <c:x val="0.26938962908337999"/>
          <c:y val="3.26625954289448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99F53A90-4923-4851-81EF-541473CC623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A007737-0DAD-4B4D-89BC-381DEF6A760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CE4E105-9F6F-41D4-A5E1-A30862F643B0}"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E9D7259-83D0-4E5A-ABAC-E6013CF301D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8561581-47AA-48EE-AF50-3BF9F439BEB1}"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EBA8CCC4-3E18-47CC-9F2C-26A3F2796AC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E35152E-AC94-4A1C-ACD1-68638C0C2E36}"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0856BDA-A2F3-4D3F-AE61-B49A01ED4AF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99F53A90-4923-4851-81EF-541473CC623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A007737-0DAD-4B4D-89BC-381DEF6A760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CE4E105-9F6F-41D4-A5E1-A30862F643B0}"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E9D7259-83D0-4E5A-ABAC-E6013CF301D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8561581-47AA-48EE-AF50-3BF9F439BEB1}"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EBA8CCC4-3E18-47CC-9F2C-26A3F2796AC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E35152E-AC94-4A1C-ACD1-68638C0C2E36}"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0856BDA-A2F3-4D3F-AE61-B49A01ED4AF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99F53A90-4923-4851-81EF-541473CC623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A007737-0DAD-4B4D-89BC-381DEF6A760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CE4E105-9F6F-41D4-A5E1-A30862F643B0}"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E9D7259-83D0-4E5A-ABAC-E6013CF301D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8561581-47AA-48EE-AF50-3BF9F439BEB1}"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EBA8CCC4-3E18-47CC-9F2C-26A3F2796AC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E35152E-AC94-4A1C-ACD1-68638C0C2E36}"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0856BDA-A2F3-4D3F-AE61-B49A01ED4AF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99F53A90-4923-4851-81EF-541473CC623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A007737-0DAD-4B4D-89BC-381DEF6A760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CE4E105-9F6F-41D4-A5E1-A30862F643B0}"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E9D7259-83D0-4E5A-ABAC-E6013CF301D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8561581-47AA-48EE-AF50-3BF9F439BEB1}"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EBA8CCC4-3E18-47CC-9F2C-26A3F2796AC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E35152E-AC94-4A1C-ACD1-68638C0C2E36}"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0856BDA-A2F3-4D3F-AE61-B49A01ED4AF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99F53A90-4923-4851-81EF-541473CC623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A007737-0DAD-4B4D-89BC-381DEF6A760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CE4E105-9F6F-41D4-A5E1-A30862F643B0}"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E9D7259-83D0-4E5A-ABAC-E6013CF301D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8561581-47AA-48EE-AF50-3BF9F439BEB1}"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EBA8CCC4-3E18-47CC-9F2C-26A3F2796AC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E35152E-AC94-4A1C-ACD1-68638C0C2E36}"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0856BDA-A2F3-4D3F-AE61-B49A01ED4AF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99F53A90-4923-4851-81EF-541473CC623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A007737-0DAD-4B4D-89BC-381DEF6A760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CE4E105-9F6F-41D4-A5E1-A30862F643B0}"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E9D7259-83D0-4E5A-ABAC-E6013CF301D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8561581-47AA-48EE-AF50-3BF9F439BEB1}"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EBA8CCC4-3E18-47CC-9F2C-26A3F2796AC7}"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E35152E-AC94-4A1C-ACD1-68638C0C2E36}"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0856BDA-A2F3-4D3F-AE61-B49A01ED4AFB}" type="VALUE">
                  <a:rPr lang="en-US">
                    <a:solidFill>
                      <a:schemeClr val="bg2"/>
                    </a:solidFill>
                  </a:rPr>
                  <a:pPr>
                    <a:defRPr sz="900" b="1" i="0" u="none" strike="noStrike" kern="1200" baseline="0">
                      <a:solidFill>
                        <a:schemeClr val="tx2"/>
                      </a:solidFill>
                      <a:latin typeface="+mn-lt"/>
                      <a:ea typeface="+mn-ea"/>
                      <a:cs typeface="+mn-cs"/>
                    </a:defRPr>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99F53A90-4923-4851-81EF-541473CC6237}"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A007737-0DAD-4B4D-89BC-381DEF6A760B}"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CE4E105-9F6F-41D4-A5E1-A30862F643B0}"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0E9D7259-83D0-4E5A-ABAC-E6013CF301DB}"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8561581-47AA-48EE-AF50-3BF9F439BEB1}"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EBA8CCC4-3E18-47CC-9F2C-26A3F2796AC7}"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E35152E-AC94-4A1C-ACD1-68638C0C2E36}"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20856BDA-A2F3-4D3F-AE61-B49A01ED4AFB}" type="VALUE">
                  <a:rPr lang="en-US">
                    <a:solidFill>
                      <a:schemeClr val="bg2"/>
                    </a:solidFill>
                  </a:rPr>
                  <a:pPr>
                    <a:defRPr b="1"/>
                  </a:pPr>
                  <a:t>[VALUE]</a:t>
                </a:fld>
                <a:endParaRPr lang="en-US"/>
              </a:p>
            </c:rich>
          </c:tx>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6644929794797362E-3"/>
          <c:y val="0.15266076847312501"/>
          <c:w val="0.9832535334895941"/>
          <c:h val="0.73988912930704254"/>
        </c:manualLayout>
      </c:layout>
      <c:lineChart>
        <c:grouping val="standard"/>
        <c:varyColors val="0"/>
        <c:ser>
          <c:idx val="0"/>
          <c:order val="0"/>
          <c:tx>
            <c:strRef>
              <c:f>Pivot!$B$3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0-7491-4A8F-BEE6-067E7180A016}"/>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1-7491-4A8F-BEE6-067E7180A016}"/>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2-7491-4A8F-BEE6-067E7180A016}"/>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3-7491-4A8F-BEE6-067E7180A016}"/>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4-7491-4A8F-BEE6-067E7180A016}"/>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5-7491-4A8F-BEE6-067E7180A016}"/>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6-7491-4A8F-BEE6-067E7180A016}"/>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7-7491-4A8F-BEE6-067E7180A016}"/>
              </c:ext>
            </c:extLst>
          </c:dPt>
          <c:dLbls>
            <c:dLbl>
              <c:idx val="0"/>
              <c:tx>
                <c:rich>
                  <a:bodyPr/>
                  <a:lstStyle/>
                  <a:p>
                    <a:fld id="{99F53A90-4923-4851-81EF-541473CC6237}"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491-4A8F-BEE6-067E7180A016}"/>
                </c:ext>
              </c:extLst>
            </c:dLbl>
            <c:dLbl>
              <c:idx val="1"/>
              <c:tx>
                <c:rich>
                  <a:bodyPr/>
                  <a:lstStyle/>
                  <a:p>
                    <a:fld id="{AA007737-0DAD-4B4D-89BC-381DEF6A760B}"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491-4A8F-BEE6-067E7180A016}"/>
                </c:ext>
              </c:extLst>
            </c:dLbl>
            <c:dLbl>
              <c:idx val="2"/>
              <c:tx>
                <c:rich>
                  <a:bodyPr/>
                  <a:lstStyle/>
                  <a:p>
                    <a:fld id="{0CE4E105-9F6F-41D4-A5E1-A30862F643B0}"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491-4A8F-BEE6-067E7180A016}"/>
                </c:ext>
              </c:extLst>
            </c:dLbl>
            <c:dLbl>
              <c:idx val="3"/>
              <c:tx>
                <c:rich>
                  <a:bodyPr/>
                  <a:lstStyle/>
                  <a:p>
                    <a:fld id="{0E9D7259-83D0-4E5A-ABAC-E6013CF301DB}"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491-4A8F-BEE6-067E7180A016}"/>
                </c:ext>
              </c:extLst>
            </c:dLbl>
            <c:dLbl>
              <c:idx val="4"/>
              <c:tx>
                <c:rich>
                  <a:bodyPr/>
                  <a:lstStyle/>
                  <a:p>
                    <a:fld id="{28561581-47AA-48EE-AF50-3BF9F439BEB1}"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491-4A8F-BEE6-067E7180A016}"/>
                </c:ext>
              </c:extLst>
            </c:dLbl>
            <c:dLbl>
              <c:idx val="5"/>
              <c:tx>
                <c:rich>
                  <a:bodyPr/>
                  <a:lstStyle/>
                  <a:p>
                    <a:fld id="{EBA8CCC4-3E18-47CC-9F2C-26A3F2796AC7}"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491-4A8F-BEE6-067E7180A016}"/>
                </c:ext>
              </c:extLst>
            </c:dLbl>
            <c:dLbl>
              <c:idx val="6"/>
              <c:tx>
                <c:rich>
                  <a:bodyPr/>
                  <a:lstStyle/>
                  <a:p>
                    <a:fld id="{1E35152E-AC94-4A1C-ACD1-68638C0C2E36}"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491-4A8F-BEE6-067E7180A016}"/>
                </c:ext>
              </c:extLst>
            </c:dLbl>
            <c:dLbl>
              <c:idx val="7"/>
              <c:tx>
                <c:rich>
                  <a:bodyPr/>
                  <a:lstStyle/>
                  <a:p>
                    <a:fld id="{20856BDA-A2F3-4D3F-AE61-B49A01ED4AFB}" type="VALUE">
                      <a:rPr lang="en-US">
                        <a:solidFill>
                          <a:schemeClr val="bg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491-4A8F-BEE6-067E7180A016}"/>
                </c:ext>
              </c:extLst>
            </c:dLbl>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Pivot!$A$4:$A$12</c:f>
              <c:strCache>
                <c:ptCount val="8"/>
                <c:pt idx="0">
                  <c:v>Q1 FY24</c:v>
                </c:pt>
                <c:pt idx="1">
                  <c:v>Q2 FY24</c:v>
                </c:pt>
                <c:pt idx="2">
                  <c:v>Q3 FY24</c:v>
                </c:pt>
                <c:pt idx="3">
                  <c:v>Q4 FY24</c:v>
                </c:pt>
                <c:pt idx="4">
                  <c:v>Q1 FY25</c:v>
                </c:pt>
                <c:pt idx="5">
                  <c:v>Q2 FY25</c:v>
                </c:pt>
                <c:pt idx="6">
                  <c:v>Q3 FY25</c:v>
                </c:pt>
                <c:pt idx="7">
                  <c:v>Q4 FY25</c:v>
                </c:pt>
              </c:strCache>
            </c:strRef>
          </c:cat>
          <c:val>
            <c:numRef>
              <c:f>Pivot!$B$4:$B$12</c:f>
              <c:numCache>
                <c:formatCode>[$$-1009]#,##0.00</c:formatCode>
                <c:ptCount val="8"/>
                <c:pt idx="0">
                  <c:v>350.15</c:v>
                </c:pt>
                <c:pt idx="1">
                  <c:v>308.80999999999995</c:v>
                </c:pt>
                <c:pt idx="2">
                  <c:v>345.93000000000012</c:v>
                </c:pt>
                <c:pt idx="3">
                  <c:v>384.40999999999997</c:v>
                </c:pt>
                <c:pt idx="4">
                  <c:v>476.90999999999997</c:v>
                </c:pt>
                <c:pt idx="5">
                  <c:v>412.15000000000009</c:v>
                </c:pt>
                <c:pt idx="6">
                  <c:v>424.61</c:v>
                </c:pt>
                <c:pt idx="7">
                  <c:v>437.50000000000006</c:v>
                </c:pt>
              </c:numCache>
            </c:numRef>
          </c:val>
          <c:smooth val="0"/>
          <c:extLst>
            <c:ext xmlns:c16="http://schemas.microsoft.com/office/drawing/2014/chart" uri="{C3380CC4-5D6E-409C-BE32-E72D297353CC}">
              <c16:uniqueId val="{00000008-7491-4A8F-BEE6-067E7180A016}"/>
            </c:ext>
          </c:extLst>
        </c:ser>
        <c:dLbls>
          <c:showLegendKey val="0"/>
          <c:showVal val="0"/>
          <c:showCatName val="0"/>
          <c:showSerName val="0"/>
          <c:showPercent val="0"/>
          <c:showBubbleSize val="0"/>
        </c:dLbls>
        <c:marker val="1"/>
        <c:smooth val="0"/>
        <c:axId val="618558840"/>
        <c:axId val="618560280"/>
      </c:lineChart>
      <c:catAx>
        <c:axId val="618558840"/>
        <c:scaling>
          <c:orientation val="minMax"/>
        </c:scaling>
        <c:delete val="0"/>
        <c:axPos val="b"/>
        <c:numFmt formatCode="General" sourceLinked="1"/>
        <c:majorTickMark val="out"/>
        <c:minorTickMark val="none"/>
        <c:tickLblPos val="nextTo"/>
        <c:spPr>
          <a:solidFill>
            <a:schemeClr val="accent4">
              <a:lumMod val="75000"/>
            </a:schemeClr>
          </a:solid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18560280"/>
        <c:crosses val="autoZero"/>
        <c:auto val="1"/>
        <c:lblAlgn val="ctr"/>
        <c:lblOffset val="100"/>
        <c:noMultiLvlLbl val="0"/>
      </c:catAx>
      <c:valAx>
        <c:axId val="618560280"/>
        <c:scaling>
          <c:orientation val="minMax"/>
        </c:scaling>
        <c:delete val="1"/>
        <c:axPos val="l"/>
        <c:numFmt formatCode="[$$-1009]#,##0.00" sourceLinked="1"/>
        <c:majorTickMark val="none"/>
        <c:minorTickMark val="none"/>
        <c:tickLblPos val="nextTo"/>
        <c:crossAx val="618558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2.xlsx]Pivot!PivotTable5</c:name>
    <c:fmtId val="27"/>
  </c:pivotSource>
  <c:chart>
    <c:title>
      <c:tx>
        <c:rich>
          <a:bodyPr rot="0" spcFirstLastPara="1" vertOverflow="ellipsis" vert="horz" wrap="square" anchor="ctr" anchorCtr="1"/>
          <a:lstStyle/>
          <a:p>
            <a:pPr>
              <a:defRPr sz="1600" b="1" i="0" u="none" strike="noStrike" kern="1200" cap="none" spc="50" normalizeH="0" baseline="0">
                <a:solidFill>
                  <a:schemeClr val="bg1"/>
                </a:solidFill>
                <a:latin typeface="+mj-lt"/>
                <a:ea typeface="+mj-ea"/>
                <a:cs typeface="+mj-cs"/>
              </a:defRPr>
            </a:pPr>
            <a:r>
              <a:rPr lang="en-US" b="1" baseline="0">
                <a:solidFill>
                  <a:schemeClr val="bg1"/>
                </a:solidFill>
                <a:latin typeface="Cambria" panose="02040503050406030204" pitchFamily="18" charset="0"/>
                <a:ea typeface="Cambria" panose="02040503050406030204" pitchFamily="18" charset="0"/>
              </a:rPr>
              <a:t>Product wise Unit Sold </a:t>
            </a:r>
            <a:endParaRPr lang="en-US" b="1">
              <a:solidFill>
                <a:schemeClr val="bg1"/>
              </a:solidFill>
            </a:endParaRPr>
          </a:p>
        </c:rich>
      </c:tx>
      <c:overlay val="0"/>
      <c:spPr>
        <a:noFill/>
        <a:ln>
          <a:noFill/>
        </a:ln>
        <a:effectLst/>
      </c:sp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Pivot!$B$71</c:f>
              <c:strCache>
                <c:ptCount val="1"/>
                <c:pt idx="0">
                  <c:v>Total</c:v>
                </c:pt>
              </c:strCache>
            </c:strRef>
          </c:tx>
          <c:spPr>
            <a:solidFill>
              <a:schemeClr val="accent1">
                <a:alpha val="70000"/>
              </a:schemeClr>
            </a:solidFill>
            <a:ln>
              <a:noFill/>
            </a:ln>
            <a:effectLst/>
          </c:spPr>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Pivot!$A$72:$A$81</c:f>
              <c:strCache>
                <c:ptCount val="9"/>
                <c:pt idx="0">
                  <c:v>Azure</c:v>
                </c:pt>
                <c:pt idx="1">
                  <c:v>Dynamics 365</c:v>
                </c:pt>
                <c:pt idx="2">
                  <c:v>GitHub</c:v>
                </c:pt>
                <c:pt idx="3">
                  <c:v>LinkedIn</c:v>
                </c:pt>
                <c:pt idx="4">
                  <c:v>Office 365</c:v>
                </c:pt>
                <c:pt idx="5">
                  <c:v>Surface</c:v>
                </c:pt>
                <c:pt idx="6">
                  <c:v>Windows</c:v>
                </c:pt>
                <c:pt idx="7">
                  <c:v>Windows Server</c:v>
                </c:pt>
                <c:pt idx="8">
                  <c:v>Xbox</c:v>
                </c:pt>
              </c:strCache>
            </c:strRef>
          </c:cat>
          <c:val>
            <c:numRef>
              <c:f>Pivot!$B$72:$B$81</c:f>
              <c:numCache>
                <c:formatCode>[$$-1009]#,##0.00</c:formatCode>
                <c:ptCount val="9"/>
                <c:pt idx="0">
                  <c:v>106011</c:v>
                </c:pt>
                <c:pt idx="1">
                  <c:v>78005</c:v>
                </c:pt>
                <c:pt idx="2">
                  <c:v>83134</c:v>
                </c:pt>
                <c:pt idx="3">
                  <c:v>103219</c:v>
                </c:pt>
                <c:pt idx="4">
                  <c:v>89361</c:v>
                </c:pt>
                <c:pt idx="5">
                  <c:v>100035</c:v>
                </c:pt>
                <c:pt idx="6">
                  <c:v>98485</c:v>
                </c:pt>
                <c:pt idx="7">
                  <c:v>93109</c:v>
                </c:pt>
                <c:pt idx="8">
                  <c:v>77587</c:v>
                </c:pt>
              </c:numCache>
            </c:numRef>
          </c:val>
          <c:extLst>
            <c:ext xmlns:c16="http://schemas.microsoft.com/office/drawing/2014/chart" uri="{C3380CC4-5D6E-409C-BE32-E72D297353CC}">
              <c16:uniqueId val="{00000000-AB2A-4BB5-AAC0-3D1F499DFF3A}"/>
            </c:ext>
          </c:extLst>
        </c:ser>
        <c:dLbls>
          <c:showLegendKey val="0"/>
          <c:showVal val="0"/>
          <c:showCatName val="0"/>
          <c:showSerName val="0"/>
          <c:showPercent val="0"/>
          <c:showBubbleSize val="0"/>
        </c:dLbls>
        <c:gapWidth val="80"/>
        <c:axId val="623005312"/>
        <c:axId val="623006032"/>
      </c:barChart>
      <c:catAx>
        <c:axId val="623005312"/>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bg1"/>
                </a:solidFill>
                <a:latin typeface="+mn-lt"/>
                <a:ea typeface="+mn-ea"/>
                <a:cs typeface="+mn-cs"/>
              </a:defRPr>
            </a:pPr>
            <a:endParaRPr lang="en-US"/>
          </a:p>
        </c:txPr>
        <c:crossAx val="623006032"/>
        <c:crosses val="autoZero"/>
        <c:auto val="1"/>
        <c:lblAlgn val="ctr"/>
        <c:lblOffset val="100"/>
        <c:noMultiLvlLbl val="0"/>
      </c:catAx>
      <c:valAx>
        <c:axId val="623006032"/>
        <c:scaling>
          <c:orientation val="minMax"/>
        </c:scaling>
        <c:delete val="1"/>
        <c:axPos val="b"/>
        <c:numFmt formatCode="[$$-1009]#,##0.00" sourceLinked="1"/>
        <c:majorTickMark val="none"/>
        <c:minorTickMark val="none"/>
        <c:tickLblPos val="nextTo"/>
        <c:crossAx val="623005312"/>
        <c:crosses val="autoZero"/>
        <c:crossBetween val="between"/>
      </c:valAx>
      <c:spPr>
        <a:solidFill>
          <a:schemeClr val="accent4">
            <a:lumMod val="75000"/>
          </a:schemeClr>
        </a:solidFill>
      </c:spPr>
    </c:plotArea>
    <c:plotVisOnly val="1"/>
    <c:dispBlanksAs val="gap"/>
    <c:showDLblsOverMax val="0"/>
    <c:extLst/>
  </c:chart>
  <c:spPr>
    <a:solidFill>
      <a:schemeClr val="accent4">
        <a:lumMod val="7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2.xlsx]Pivot!PivotTable2</c:name>
    <c:fmtId val="17"/>
  </c:pivotSource>
  <c:chart>
    <c:title>
      <c:tx>
        <c:rich>
          <a:bodyPr rot="0" spcFirstLastPara="1" vertOverflow="ellipsis" vert="horz" wrap="square" anchor="ctr" anchorCtr="1"/>
          <a:lstStyle/>
          <a:p>
            <a:pPr>
              <a:defRPr sz="1600" b="1" i="0" u="none" strike="noStrike" kern="1200" cap="none" spc="50" normalizeH="0" baseline="0">
                <a:solidFill>
                  <a:schemeClr val="bg1"/>
                </a:solidFill>
                <a:latin typeface="+mj-lt"/>
                <a:ea typeface="+mj-ea"/>
                <a:cs typeface="+mj-cs"/>
              </a:defRPr>
            </a:pPr>
            <a:r>
              <a:rPr lang="en-US" b="1">
                <a:solidFill>
                  <a:schemeClr val="bg1"/>
                </a:solidFill>
                <a:latin typeface="Cambria" panose="02040503050406030204" pitchFamily="18" charset="0"/>
                <a:ea typeface="Cambria" panose="02040503050406030204" pitchFamily="18" charset="0"/>
              </a:rPr>
              <a:t>Region Wise</a:t>
            </a:r>
            <a:r>
              <a:rPr lang="en-US" b="1" baseline="0">
                <a:solidFill>
                  <a:schemeClr val="bg1"/>
                </a:solidFill>
                <a:latin typeface="Cambria" panose="02040503050406030204" pitchFamily="18" charset="0"/>
                <a:ea typeface="Cambria" panose="02040503050406030204" pitchFamily="18" charset="0"/>
              </a:rPr>
              <a:t> Sales</a:t>
            </a:r>
            <a:r>
              <a:rPr lang="en-US" b="1">
                <a:solidFill>
                  <a:schemeClr val="bg1"/>
                </a:solidFill>
                <a:latin typeface="Cambria" panose="02040503050406030204" pitchFamily="18" charset="0"/>
                <a:ea typeface="Cambria" panose="02040503050406030204" pitchFamily="18" charset="0"/>
              </a:rPr>
              <a:t> (USD M</a:t>
            </a:r>
            <a:r>
              <a:rPr lang="en-US" b="1">
                <a:solidFill>
                  <a:schemeClr val="bg1"/>
                </a:solidFill>
              </a:rPr>
              <a:t>)</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bg1"/>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Pivot!$A$20:$A$25</c:f>
              <c:strCache>
                <c:ptCount val="5"/>
                <c:pt idx="0">
                  <c:v>Asia Pacific</c:v>
                </c:pt>
                <c:pt idx="1">
                  <c:v>Europe</c:v>
                </c:pt>
                <c:pt idx="2">
                  <c:v>Latin America</c:v>
                </c:pt>
                <c:pt idx="3">
                  <c:v>Middle East &amp; Africa</c:v>
                </c:pt>
                <c:pt idx="4">
                  <c:v>North America</c:v>
                </c:pt>
              </c:strCache>
            </c:strRef>
          </c:cat>
          <c:val>
            <c:numRef>
              <c:f>Pivot!$B$20:$B$25</c:f>
              <c:numCache>
                <c:formatCode>[$$-1009]#,##0.00</c:formatCode>
                <c:ptCount val="5"/>
                <c:pt idx="0">
                  <c:v>755.23000000000025</c:v>
                </c:pt>
                <c:pt idx="1">
                  <c:v>683.78999999999985</c:v>
                </c:pt>
                <c:pt idx="2">
                  <c:v>440.2000000000001</c:v>
                </c:pt>
                <c:pt idx="3">
                  <c:v>367.41</c:v>
                </c:pt>
                <c:pt idx="4">
                  <c:v>893.84000000000015</c:v>
                </c:pt>
              </c:numCache>
            </c:numRef>
          </c:val>
          <c:extLst>
            <c:ext xmlns:c16="http://schemas.microsoft.com/office/drawing/2014/chart" uri="{C3380CC4-5D6E-409C-BE32-E72D297353CC}">
              <c16:uniqueId val="{00000001-5C42-4ECF-93A0-6E26A535D19F}"/>
            </c:ext>
          </c:extLst>
        </c:ser>
        <c:dLbls>
          <c:showLegendKey val="0"/>
          <c:showVal val="0"/>
          <c:showCatName val="0"/>
          <c:showSerName val="0"/>
          <c:showPercent val="0"/>
          <c:showBubbleSize val="0"/>
        </c:dLbls>
        <c:gapWidth val="80"/>
        <c:overlap val="25"/>
        <c:axId val="623005312"/>
        <c:axId val="623006032"/>
      </c:barChart>
      <c:catAx>
        <c:axId val="62300531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bg1"/>
                </a:solidFill>
                <a:latin typeface="+mn-lt"/>
                <a:ea typeface="+mn-ea"/>
                <a:cs typeface="+mn-cs"/>
              </a:defRPr>
            </a:pPr>
            <a:endParaRPr lang="en-US"/>
          </a:p>
        </c:txPr>
        <c:crossAx val="623006032"/>
        <c:crosses val="autoZero"/>
        <c:auto val="1"/>
        <c:lblAlgn val="ctr"/>
        <c:lblOffset val="100"/>
        <c:noMultiLvlLbl val="0"/>
      </c:catAx>
      <c:valAx>
        <c:axId val="623006032"/>
        <c:scaling>
          <c:orientation val="minMax"/>
        </c:scaling>
        <c:delete val="1"/>
        <c:axPos val="l"/>
        <c:numFmt formatCode="[$$-1009]#,##0.00" sourceLinked="1"/>
        <c:majorTickMark val="none"/>
        <c:minorTickMark val="none"/>
        <c:tickLblPos val="nextTo"/>
        <c:crossAx val="62300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2.xlsx]Pivot!PivotTable3</c:name>
    <c:fmtId val="3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bg1"/>
                </a:solidFill>
              </a:rPr>
              <a:t>Segment  Wise</a:t>
            </a:r>
            <a:r>
              <a:rPr lang="en-IN" baseline="0">
                <a:solidFill>
                  <a:schemeClr val="bg1"/>
                </a:solidFill>
              </a:rPr>
              <a:t> Profit</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0.17534887325035045"/>
              <c:y val="-6.575910341385736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63500" sx="102000" sy="102000" algn="ctr" rotWithShape="0">
              <a:prstClr val="black">
                <a:alpha val="20000"/>
              </a:prstClr>
            </a:outerShdw>
          </a:effectLst>
        </c:spPr>
        <c:dLbl>
          <c:idx val="0"/>
          <c:layout>
            <c:manualLayout>
              <c:x val="-0.12882774361250238"/>
              <c:y val="9.105106626534087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0.13240629204618298"/>
              <c:y val="-5.0583925702967207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0.17534887325035045"/>
              <c:y val="-6.575910341385736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layout>
            <c:manualLayout>
              <c:x val="-0.12882774361250238"/>
              <c:y val="9.105106626534087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layout>
            <c:manualLayout>
              <c:x val="-0.13240629204618298"/>
              <c:y val="-5.0583925702967207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0.17534887325035045"/>
              <c:y val="-6.575910341385736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layout>
            <c:manualLayout>
              <c:x val="-0.12882774361250238"/>
              <c:y val="9.105106626534087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layout>
            <c:manualLayout>
              <c:x val="-0.13240629204618298"/>
              <c:y val="-5.0583925702967207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layout>
            <c:manualLayout>
              <c:x val="0.17534887325035045"/>
              <c:y val="-6.575910341385736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layout>
            <c:manualLayout>
              <c:x val="-0.12882774361250238"/>
              <c:y val="9.105106626534087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layout>
            <c:manualLayout>
              <c:x val="-0.13240629204618298"/>
              <c:y val="-5.0583925702967207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a:outerShdw blurRad="63500" sx="102000" sy="102000" algn="ctr" rotWithShape="0">
              <a:prstClr val="black">
                <a:alpha val="20000"/>
              </a:prstClr>
            </a:outerShdw>
          </a:effectLst>
        </c:spPr>
        <c:dLbl>
          <c:idx val="0"/>
          <c:layout>
            <c:manualLayout>
              <c:x val="0.17534887325035045"/>
              <c:y val="-6.575910341385736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a:outerShdw blurRad="63500" sx="102000" sy="102000" algn="ctr" rotWithShape="0">
              <a:prstClr val="black">
                <a:alpha val="20000"/>
              </a:prstClr>
            </a:outerShdw>
          </a:effectLst>
        </c:spPr>
        <c:dLbl>
          <c:idx val="0"/>
          <c:layout>
            <c:manualLayout>
              <c:x val="-0.12882774361250238"/>
              <c:y val="9.105106626534087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a:outerShdw blurRad="63500" sx="102000" sy="102000" algn="ctr" rotWithShape="0">
              <a:prstClr val="black">
                <a:alpha val="20000"/>
              </a:prstClr>
            </a:outerShdw>
          </a:effectLst>
        </c:spPr>
        <c:dLbl>
          <c:idx val="0"/>
          <c:layout>
            <c:manualLayout>
              <c:x val="-0.13240629204618298"/>
              <c:y val="-5.0583925702967207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Pivot!$B$35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1B7-408A-92F9-64B8C49D222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1B7-408A-92F9-64B8C49D222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1B7-408A-92F9-64B8C49D222F}"/>
              </c:ext>
            </c:extLst>
          </c:dPt>
          <c:dLbls>
            <c:dLbl>
              <c:idx val="0"/>
              <c:layout>
                <c:manualLayout>
                  <c:x val="0.17534887325035045"/>
                  <c:y val="-6.575910341385736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1B7-408A-92F9-64B8C49D222F}"/>
                </c:ext>
              </c:extLst>
            </c:dLbl>
            <c:dLbl>
              <c:idx val="1"/>
              <c:layout>
                <c:manualLayout>
                  <c:x val="-0.12882774361250238"/>
                  <c:y val="9.1051066265340874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1B7-408A-92F9-64B8C49D222F}"/>
                </c:ext>
              </c:extLst>
            </c:dLbl>
            <c:dLbl>
              <c:idx val="2"/>
              <c:layout>
                <c:manualLayout>
                  <c:x val="-0.13240629204618298"/>
                  <c:y val="-5.0583925702967207E-2"/>
                </c:manualLayout>
              </c:layout>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1B7-408A-92F9-64B8C49D222F}"/>
                </c:ext>
              </c:extLst>
            </c:dLbl>
            <c:spPr>
              <a:solidFill>
                <a:srgbClr val="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Pivot!$A$36:$A$39</c:f>
              <c:strCache>
                <c:ptCount val="3"/>
                <c:pt idx="0">
                  <c:v>Intelligent Cloud</c:v>
                </c:pt>
                <c:pt idx="1">
                  <c:v>More Personal Computing</c:v>
                </c:pt>
                <c:pt idx="2">
                  <c:v>Productivity and Business Processes</c:v>
                </c:pt>
              </c:strCache>
            </c:strRef>
          </c:cat>
          <c:val>
            <c:numRef>
              <c:f>Pivot!$B$36:$B$39</c:f>
              <c:numCache>
                <c:formatCode>[$$-1009]#,##0.00</c:formatCode>
                <c:ptCount val="3"/>
                <c:pt idx="0">
                  <c:v>630.06999999999982</c:v>
                </c:pt>
                <c:pt idx="1">
                  <c:v>108.00999999999998</c:v>
                </c:pt>
                <c:pt idx="2">
                  <c:v>360.77999999999992</c:v>
                </c:pt>
              </c:numCache>
            </c:numRef>
          </c:val>
          <c:extLst>
            <c:ext xmlns:c16="http://schemas.microsoft.com/office/drawing/2014/chart" uri="{C3380CC4-5D6E-409C-BE32-E72D297353CC}">
              <c16:uniqueId val="{00000006-C1B7-408A-92F9-64B8C49D222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Group Assignment Learning Team 2.xlsx]Pivot!PivotTable6</c:name>
    <c:fmtId val="3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i="0" u="none" strike="noStrike" baseline="0">
                <a:solidFill>
                  <a:schemeClr val="bg1"/>
                </a:solidFill>
                <a:latin typeface="Cambria" panose="02040503050406030204" pitchFamily="18" charset="0"/>
                <a:ea typeface="Cambria" panose="02040503050406030204" pitchFamily="18" charset="0"/>
              </a:rPr>
              <a:t>Customer Satisfaction by Region &amp; Customer Type</a:t>
            </a:r>
            <a:endParaRPr lang="en-IN" sz="1600" b="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Pivot!$B$42:$B$43</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Pivot!$A$44:$A$49</c:f>
              <c:strCache>
                <c:ptCount val="5"/>
                <c:pt idx="0">
                  <c:v>Asia Pacific</c:v>
                </c:pt>
                <c:pt idx="1">
                  <c:v>Europe</c:v>
                </c:pt>
                <c:pt idx="2">
                  <c:v>Latin America</c:v>
                </c:pt>
                <c:pt idx="3">
                  <c:v>Middle East &amp; Africa</c:v>
                </c:pt>
                <c:pt idx="4">
                  <c:v>North America</c:v>
                </c:pt>
              </c:strCache>
            </c:strRef>
          </c:cat>
          <c:val>
            <c:numRef>
              <c:f>Pivot!$B$44:$B$49</c:f>
              <c:numCache>
                <c:formatCode>_ * #,##0.0_ ;_ * \-#,##0.0_ ;_ * "-"??_ ;_ @_ </c:formatCode>
                <c:ptCount val="5"/>
                <c:pt idx="0">
                  <c:v>7.45</c:v>
                </c:pt>
                <c:pt idx="1">
                  <c:v>8.35</c:v>
                </c:pt>
                <c:pt idx="2">
                  <c:v>7.82</c:v>
                </c:pt>
                <c:pt idx="3">
                  <c:v>7.4142857142857137</c:v>
                </c:pt>
                <c:pt idx="4">
                  <c:v>7.1499999999999995</c:v>
                </c:pt>
              </c:numCache>
            </c:numRef>
          </c:val>
          <c:extLst>
            <c:ext xmlns:c16="http://schemas.microsoft.com/office/drawing/2014/chart" uri="{C3380CC4-5D6E-409C-BE32-E72D297353CC}">
              <c16:uniqueId val="{00000000-9C64-41C3-A34D-B91230A02061}"/>
            </c:ext>
          </c:extLst>
        </c:ser>
        <c:ser>
          <c:idx val="1"/>
          <c:order val="1"/>
          <c:tx>
            <c:strRef>
              <c:f>Pivot!$C$42:$C$43</c:f>
              <c:strCache>
                <c:ptCount val="1"/>
                <c:pt idx="0">
                  <c:v>Enterprise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Pivot!$A$44:$A$49</c:f>
              <c:strCache>
                <c:ptCount val="5"/>
                <c:pt idx="0">
                  <c:v>Asia Pacific</c:v>
                </c:pt>
                <c:pt idx="1">
                  <c:v>Europe</c:v>
                </c:pt>
                <c:pt idx="2">
                  <c:v>Latin America</c:v>
                </c:pt>
                <c:pt idx="3">
                  <c:v>Middle East &amp; Africa</c:v>
                </c:pt>
                <c:pt idx="4">
                  <c:v>North America</c:v>
                </c:pt>
              </c:strCache>
            </c:strRef>
          </c:cat>
          <c:val>
            <c:numRef>
              <c:f>Pivot!$C$44:$C$49</c:f>
              <c:numCache>
                <c:formatCode>_ * #,##0.0_ ;_ * \-#,##0.0_ ;_ * "-"??_ ;_ @_ </c:formatCode>
                <c:ptCount val="5"/>
                <c:pt idx="0">
                  <c:v>7.65</c:v>
                </c:pt>
                <c:pt idx="1">
                  <c:v>7.9411764705882355</c:v>
                </c:pt>
                <c:pt idx="2">
                  <c:v>8.0562500000000004</c:v>
                </c:pt>
                <c:pt idx="3">
                  <c:v>7.6</c:v>
                </c:pt>
                <c:pt idx="4">
                  <c:v>7.9625000000000004</c:v>
                </c:pt>
              </c:numCache>
            </c:numRef>
          </c:val>
          <c:extLst>
            <c:ext xmlns:c16="http://schemas.microsoft.com/office/drawing/2014/chart" uri="{C3380CC4-5D6E-409C-BE32-E72D297353CC}">
              <c16:uniqueId val="{00000001-9C64-41C3-A34D-B91230A02061}"/>
            </c:ext>
          </c:extLst>
        </c:ser>
        <c:ser>
          <c:idx val="2"/>
          <c:order val="2"/>
          <c:tx>
            <c:strRef>
              <c:f>Pivot!$D$42:$D$43</c:f>
              <c:strCache>
                <c:ptCount val="1"/>
                <c:pt idx="0">
                  <c:v>SMB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Pivot!$A$44:$A$49</c:f>
              <c:strCache>
                <c:ptCount val="5"/>
                <c:pt idx="0">
                  <c:v>Asia Pacific</c:v>
                </c:pt>
                <c:pt idx="1">
                  <c:v>Europe</c:v>
                </c:pt>
                <c:pt idx="2">
                  <c:v>Latin America</c:v>
                </c:pt>
                <c:pt idx="3">
                  <c:v>Middle East &amp; Africa</c:v>
                </c:pt>
                <c:pt idx="4">
                  <c:v>North America</c:v>
                </c:pt>
              </c:strCache>
            </c:strRef>
          </c:cat>
          <c:val>
            <c:numRef>
              <c:f>Pivot!$D$44:$D$49</c:f>
              <c:numCache>
                <c:formatCode>_ * #,##0.0_ ;_ * \-#,##0.0_ ;_ * "-"??_ ;_ @_ </c:formatCode>
                <c:ptCount val="5"/>
                <c:pt idx="0">
                  <c:v>7.8</c:v>
                </c:pt>
                <c:pt idx="1">
                  <c:v>7.4124999999999979</c:v>
                </c:pt>
                <c:pt idx="2">
                  <c:v>7.6409090909090907</c:v>
                </c:pt>
                <c:pt idx="3">
                  <c:v>7.1961538461538463</c:v>
                </c:pt>
                <c:pt idx="4">
                  <c:v>7.865384615384615</c:v>
                </c:pt>
              </c:numCache>
            </c:numRef>
          </c:val>
          <c:extLst>
            <c:ext xmlns:c16="http://schemas.microsoft.com/office/drawing/2014/chart" uri="{C3380CC4-5D6E-409C-BE32-E72D297353CC}">
              <c16:uniqueId val="{00000002-9C64-41C3-A34D-B91230A02061}"/>
            </c:ext>
          </c:extLst>
        </c:ser>
        <c:dLbls>
          <c:showLegendKey val="0"/>
          <c:showVal val="0"/>
          <c:showCatName val="0"/>
          <c:showSerName val="0"/>
          <c:showPercent val="0"/>
          <c:showBubbleSize val="0"/>
        </c:dLbls>
        <c:gapWidth val="219"/>
        <c:overlap val="-27"/>
        <c:axId val="697119856"/>
        <c:axId val="697122016"/>
      </c:barChart>
      <c:catAx>
        <c:axId val="6971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97122016"/>
        <c:crosses val="autoZero"/>
        <c:auto val="1"/>
        <c:lblAlgn val="ctr"/>
        <c:lblOffset val="100"/>
        <c:noMultiLvlLbl val="0"/>
      </c:catAx>
      <c:valAx>
        <c:axId val="697122016"/>
        <c:scaling>
          <c:orientation val="minMax"/>
        </c:scaling>
        <c:delete val="1"/>
        <c:axPos val="l"/>
        <c:numFmt formatCode="_ * #,##0.0_ ;_ * \-#,##0.0_ ;_ * &quot;-&quot;??_ ;_ @_ " sourceLinked="1"/>
        <c:majorTickMark val="none"/>
        <c:minorTickMark val="none"/>
        <c:tickLblPos val="nextTo"/>
        <c:crossAx val="69711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Units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Dataset!$H$2</c:f>
              <c:strCache>
                <c:ptCount val="1"/>
                <c:pt idx="0">
                  <c:v>Revenue_USD_Million</c:v>
                </c:pt>
              </c:strCache>
            </c:strRef>
          </c:tx>
          <c:spPr>
            <a:ln w="19050" cap="rnd">
              <a:noFill/>
              <a:round/>
            </a:ln>
            <a:effectLst/>
          </c:spPr>
          <c:marker>
            <c:symbol val="circle"/>
            <c:size val="5"/>
            <c:spPr>
              <a:solidFill>
                <a:schemeClr val="accent1"/>
              </a:solidFill>
              <a:ln w="9525">
                <a:solidFill>
                  <a:schemeClr val="accent1"/>
                </a:solidFill>
              </a:ln>
              <a:effectLst/>
            </c:spPr>
          </c:marker>
          <c:xVal>
            <c:numRef>
              <c:f>Dataset!$G$3:$G$241</c:f>
              <c:numCache>
                <c:formatCode>#,##0</c:formatCode>
                <c:ptCount val="239"/>
                <c:pt idx="0">
                  <c:v>6285</c:v>
                </c:pt>
                <c:pt idx="1">
                  <c:v>5225</c:v>
                </c:pt>
                <c:pt idx="2">
                  <c:v>2627</c:v>
                </c:pt>
                <c:pt idx="3">
                  <c:v>3468</c:v>
                </c:pt>
                <c:pt idx="4">
                  <c:v>5318</c:v>
                </c:pt>
                <c:pt idx="5">
                  <c:v>1633</c:v>
                </c:pt>
                <c:pt idx="6">
                  <c:v>4662</c:v>
                </c:pt>
                <c:pt idx="7">
                  <c:v>2470</c:v>
                </c:pt>
                <c:pt idx="8">
                  <c:v>3935</c:v>
                </c:pt>
                <c:pt idx="9">
                  <c:v>4795</c:v>
                </c:pt>
                <c:pt idx="10">
                  <c:v>1258</c:v>
                </c:pt>
                <c:pt idx="12">
                  <c:v>5468</c:v>
                </c:pt>
                <c:pt idx="13">
                  <c:v>4730</c:v>
                </c:pt>
                <c:pt idx="14">
                  <c:v>2784</c:v>
                </c:pt>
                <c:pt idx="15">
                  <c:v>4337</c:v>
                </c:pt>
                <c:pt idx="16">
                  <c:v>3060</c:v>
                </c:pt>
                <c:pt idx="17">
                  <c:v>3439</c:v>
                </c:pt>
                <c:pt idx="18">
                  <c:v>3097</c:v>
                </c:pt>
                <c:pt idx="19">
                  <c:v>2171</c:v>
                </c:pt>
                <c:pt idx="20">
                  <c:v>3487</c:v>
                </c:pt>
                <c:pt idx="21">
                  <c:v>953</c:v>
                </c:pt>
                <c:pt idx="22">
                  <c:v>2929</c:v>
                </c:pt>
                <c:pt idx="23">
                  <c:v>928</c:v>
                </c:pt>
                <c:pt idx="24">
                  <c:v>2464</c:v>
                </c:pt>
                <c:pt idx="25">
                  <c:v>1236</c:v>
                </c:pt>
                <c:pt idx="26">
                  <c:v>2684</c:v>
                </c:pt>
                <c:pt idx="27">
                  <c:v>1615</c:v>
                </c:pt>
                <c:pt idx="28">
                  <c:v>2729</c:v>
                </c:pt>
                <c:pt idx="29">
                  <c:v>1236</c:v>
                </c:pt>
                <c:pt idx="30">
                  <c:v>5856</c:v>
                </c:pt>
                <c:pt idx="31">
                  <c:v>2326</c:v>
                </c:pt>
                <c:pt idx="32">
                  <c:v>3044</c:v>
                </c:pt>
                <c:pt idx="33">
                  <c:v>2242</c:v>
                </c:pt>
                <c:pt idx="34">
                  <c:v>1482</c:v>
                </c:pt>
                <c:pt idx="35">
                  <c:v>7303</c:v>
                </c:pt>
                <c:pt idx="36">
                  <c:v>4577</c:v>
                </c:pt>
                <c:pt idx="37">
                  <c:v>4875</c:v>
                </c:pt>
                <c:pt idx="38">
                  <c:v>1694</c:v>
                </c:pt>
                <c:pt idx="39">
                  <c:v>4864</c:v>
                </c:pt>
                <c:pt idx="40">
                  <c:v>1594</c:v>
                </c:pt>
                <c:pt idx="41">
                  <c:v>4528</c:v>
                </c:pt>
                <c:pt idx="42">
                  <c:v>1324</c:v>
                </c:pt>
                <c:pt idx="43">
                  <c:v>4817</c:v>
                </c:pt>
                <c:pt idx="44">
                  <c:v>3764</c:v>
                </c:pt>
                <c:pt idx="45">
                  <c:v>5666</c:v>
                </c:pt>
                <c:pt idx="46">
                  <c:v>6069</c:v>
                </c:pt>
                <c:pt idx="47">
                  <c:v>1165</c:v>
                </c:pt>
                <c:pt idx="48">
                  <c:v>1471</c:v>
                </c:pt>
                <c:pt idx="49">
                  <c:v>1761</c:v>
                </c:pt>
                <c:pt idx="50">
                  <c:v>1686</c:v>
                </c:pt>
                <c:pt idx="51">
                  <c:v>941</c:v>
                </c:pt>
                <c:pt idx="52">
                  <c:v>2625</c:v>
                </c:pt>
                <c:pt idx="53">
                  <c:v>1209</c:v>
                </c:pt>
                <c:pt idx="54">
                  <c:v>1533</c:v>
                </c:pt>
                <c:pt idx="55">
                  <c:v>2429</c:v>
                </c:pt>
                <c:pt idx="56">
                  <c:v>2460</c:v>
                </c:pt>
                <c:pt idx="57">
                  <c:v>1077</c:v>
                </c:pt>
                <c:pt idx="58">
                  <c:v>1968</c:v>
                </c:pt>
                <c:pt idx="59">
                  <c:v>7303</c:v>
                </c:pt>
                <c:pt idx="60">
                  <c:v>1502</c:v>
                </c:pt>
                <c:pt idx="61">
                  <c:v>4869</c:v>
                </c:pt>
                <c:pt idx="62">
                  <c:v>7002</c:v>
                </c:pt>
                <c:pt idx="63">
                  <c:v>4584</c:v>
                </c:pt>
                <c:pt idx="64">
                  <c:v>5757</c:v>
                </c:pt>
                <c:pt idx="65">
                  <c:v>2527</c:v>
                </c:pt>
                <c:pt idx="66">
                  <c:v>2622</c:v>
                </c:pt>
                <c:pt idx="67">
                  <c:v>1864</c:v>
                </c:pt>
                <c:pt idx="68">
                  <c:v>4262</c:v>
                </c:pt>
                <c:pt idx="69">
                  <c:v>3860</c:v>
                </c:pt>
                <c:pt idx="70">
                  <c:v>4235</c:v>
                </c:pt>
                <c:pt idx="71">
                  <c:v>1017</c:v>
                </c:pt>
                <c:pt idx="72">
                  <c:v>5972</c:v>
                </c:pt>
                <c:pt idx="73">
                  <c:v>4432</c:v>
                </c:pt>
                <c:pt idx="74">
                  <c:v>3385</c:v>
                </c:pt>
                <c:pt idx="75">
                  <c:v>3472</c:v>
                </c:pt>
                <c:pt idx="76">
                  <c:v>5202</c:v>
                </c:pt>
                <c:pt idx="77">
                  <c:v>1012</c:v>
                </c:pt>
                <c:pt idx="78">
                  <c:v>1163</c:v>
                </c:pt>
                <c:pt idx="79">
                  <c:v>3915</c:v>
                </c:pt>
                <c:pt idx="80">
                  <c:v>831</c:v>
                </c:pt>
                <c:pt idx="81">
                  <c:v>1812</c:v>
                </c:pt>
                <c:pt idx="82">
                  <c:v>3530</c:v>
                </c:pt>
                <c:pt idx="83">
                  <c:v>1009</c:v>
                </c:pt>
                <c:pt idx="84">
                  <c:v>1893</c:v>
                </c:pt>
                <c:pt idx="85">
                  <c:v>1217</c:v>
                </c:pt>
                <c:pt idx="86">
                  <c:v>1027</c:v>
                </c:pt>
                <c:pt idx="87">
                  <c:v>2051</c:v>
                </c:pt>
                <c:pt idx="88">
                  <c:v>2584</c:v>
                </c:pt>
                <c:pt idx="89">
                  <c:v>3568</c:v>
                </c:pt>
                <c:pt idx="90">
                  <c:v>3922</c:v>
                </c:pt>
                <c:pt idx="91">
                  <c:v>2679</c:v>
                </c:pt>
                <c:pt idx="92">
                  <c:v>8799</c:v>
                </c:pt>
                <c:pt idx="93">
                  <c:v>1546</c:v>
                </c:pt>
                <c:pt idx="94">
                  <c:v>1989</c:v>
                </c:pt>
                <c:pt idx="95">
                  <c:v>1693</c:v>
                </c:pt>
                <c:pt idx="96">
                  <c:v>1915</c:v>
                </c:pt>
                <c:pt idx="97">
                  <c:v>3819</c:v>
                </c:pt>
                <c:pt idx="98">
                  <c:v>4825</c:v>
                </c:pt>
                <c:pt idx="99">
                  <c:v>2488</c:v>
                </c:pt>
                <c:pt idx="100">
                  <c:v>2813</c:v>
                </c:pt>
                <c:pt idx="101">
                  <c:v>5410</c:v>
                </c:pt>
                <c:pt idx="102">
                  <c:v>4605</c:v>
                </c:pt>
                <c:pt idx="103">
                  <c:v>1598</c:v>
                </c:pt>
                <c:pt idx="104">
                  <c:v>3399</c:v>
                </c:pt>
                <c:pt idx="105">
                  <c:v>6411</c:v>
                </c:pt>
                <c:pt idx="106">
                  <c:v>4195</c:v>
                </c:pt>
                <c:pt idx="107">
                  <c:v>2945</c:v>
                </c:pt>
                <c:pt idx="108">
                  <c:v>3778</c:v>
                </c:pt>
                <c:pt idx="109">
                  <c:v>903</c:v>
                </c:pt>
                <c:pt idx="110">
                  <c:v>3030</c:v>
                </c:pt>
                <c:pt idx="111">
                  <c:v>1334</c:v>
                </c:pt>
                <c:pt idx="112">
                  <c:v>682</c:v>
                </c:pt>
                <c:pt idx="113">
                  <c:v>1196</c:v>
                </c:pt>
                <c:pt idx="114">
                  <c:v>2061</c:v>
                </c:pt>
                <c:pt idx="115">
                  <c:v>2228</c:v>
                </c:pt>
                <c:pt idx="116">
                  <c:v>1359</c:v>
                </c:pt>
                <c:pt idx="117">
                  <c:v>3132</c:v>
                </c:pt>
                <c:pt idx="118">
                  <c:v>1576</c:v>
                </c:pt>
                <c:pt idx="119">
                  <c:v>3100</c:v>
                </c:pt>
                <c:pt idx="120">
                  <c:v>4320</c:v>
                </c:pt>
                <c:pt idx="121">
                  <c:v>8191</c:v>
                </c:pt>
                <c:pt idx="122">
                  <c:v>4512</c:v>
                </c:pt>
                <c:pt idx="123">
                  <c:v>8047</c:v>
                </c:pt>
                <c:pt idx="124">
                  <c:v>8212</c:v>
                </c:pt>
                <c:pt idx="125">
                  <c:v>7382</c:v>
                </c:pt>
                <c:pt idx="126">
                  <c:v>6894</c:v>
                </c:pt>
                <c:pt idx="127">
                  <c:v>4693</c:v>
                </c:pt>
                <c:pt idx="128">
                  <c:v>4248</c:v>
                </c:pt>
                <c:pt idx="129">
                  <c:v>6879</c:v>
                </c:pt>
                <c:pt idx="130">
                  <c:v>5169</c:v>
                </c:pt>
                <c:pt idx="131">
                  <c:v>2318</c:v>
                </c:pt>
                <c:pt idx="132">
                  <c:v>2539</c:v>
                </c:pt>
                <c:pt idx="133">
                  <c:v>5510</c:v>
                </c:pt>
                <c:pt idx="134">
                  <c:v>4929</c:v>
                </c:pt>
                <c:pt idx="135">
                  <c:v>5586</c:v>
                </c:pt>
                <c:pt idx="136">
                  <c:v>5343</c:v>
                </c:pt>
                <c:pt idx="137">
                  <c:v>1582</c:v>
                </c:pt>
                <c:pt idx="138">
                  <c:v>3691</c:v>
                </c:pt>
                <c:pt idx="139">
                  <c:v>940</c:v>
                </c:pt>
                <c:pt idx="140">
                  <c:v>2845</c:v>
                </c:pt>
                <c:pt idx="141">
                  <c:v>3088</c:v>
                </c:pt>
                <c:pt idx="142">
                  <c:v>1131</c:v>
                </c:pt>
                <c:pt idx="143">
                  <c:v>1980</c:v>
                </c:pt>
                <c:pt idx="144">
                  <c:v>3388</c:v>
                </c:pt>
                <c:pt idx="145">
                  <c:v>1209</c:v>
                </c:pt>
                <c:pt idx="146">
                  <c:v>2276</c:v>
                </c:pt>
                <c:pt idx="147">
                  <c:v>2662</c:v>
                </c:pt>
                <c:pt idx="148">
                  <c:v>3725</c:v>
                </c:pt>
                <c:pt idx="149">
                  <c:v>3979</c:v>
                </c:pt>
                <c:pt idx="150">
                  <c:v>9414</c:v>
                </c:pt>
                <c:pt idx="151">
                  <c:v>7785</c:v>
                </c:pt>
                <c:pt idx="152">
                  <c:v>5608</c:v>
                </c:pt>
                <c:pt idx="153">
                  <c:v>9067</c:v>
                </c:pt>
                <c:pt idx="154">
                  <c:v>6575</c:v>
                </c:pt>
                <c:pt idx="155">
                  <c:v>1527</c:v>
                </c:pt>
                <c:pt idx="156">
                  <c:v>3594</c:v>
                </c:pt>
                <c:pt idx="157">
                  <c:v>3924</c:v>
                </c:pt>
                <c:pt idx="158">
                  <c:v>3134</c:v>
                </c:pt>
                <c:pt idx="159">
                  <c:v>6624</c:v>
                </c:pt>
                <c:pt idx="160">
                  <c:v>4975</c:v>
                </c:pt>
                <c:pt idx="161">
                  <c:v>6856</c:v>
                </c:pt>
                <c:pt idx="162">
                  <c:v>2310</c:v>
                </c:pt>
                <c:pt idx="163">
                  <c:v>6103</c:v>
                </c:pt>
                <c:pt idx="164">
                  <c:v>4660</c:v>
                </c:pt>
                <c:pt idx="165">
                  <c:v>977</c:v>
                </c:pt>
                <c:pt idx="166">
                  <c:v>1500</c:v>
                </c:pt>
                <c:pt idx="167">
                  <c:v>4119</c:v>
                </c:pt>
                <c:pt idx="168">
                  <c:v>3239</c:v>
                </c:pt>
                <c:pt idx="169">
                  <c:v>1051</c:v>
                </c:pt>
                <c:pt idx="170">
                  <c:v>2180</c:v>
                </c:pt>
                <c:pt idx="171">
                  <c:v>1914</c:v>
                </c:pt>
                <c:pt idx="172">
                  <c:v>2597</c:v>
                </c:pt>
                <c:pt idx="173">
                  <c:v>2062</c:v>
                </c:pt>
                <c:pt idx="174">
                  <c:v>1489</c:v>
                </c:pt>
                <c:pt idx="175">
                  <c:v>1984</c:v>
                </c:pt>
                <c:pt idx="176">
                  <c:v>3023</c:v>
                </c:pt>
                <c:pt idx="177">
                  <c:v>1696</c:v>
                </c:pt>
                <c:pt idx="178">
                  <c:v>1179</c:v>
                </c:pt>
                <c:pt idx="179">
                  <c:v>7715</c:v>
                </c:pt>
                <c:pt idx="180">
                  <c:v>8647</c:v>
                </c:pt>
                <c:pt idx="181">
                  <c:v>4296</c:v>
                </c:pt>
                <c:pt idx="182">
                  <c:v>1958</c:v>
                </c:pt>
                <c:pt idx="183">
                  <c:v>9028</c:v>
                </c:pt>
                <c:pt idx="184">
                  <c:v>5133</c:v>
                </c:pt>
                <c:pt idx="185">
                  <c:v>2779</c:v>
                </c:pt>
                <c:pt idx="186">
                  <c:v>7418</c:v>
                </c:pt>
                <c:pt idx="187">
                  <c:v>3346</c:v>
                </c:pt>
                <c:pt idx="188">
                  <c:v>3372</c:v>
                </c:pt>
                <c:pt idx="189">
                  <c:v>5183</c:v>
                </c:pt>
                <c:pt idx="190">
                  <c:v>5702</c:v>
                </c:pt>
                <c:pt idx="191">
                  <c:v>1082</c:v>
                </c:pt>
                <c:pt idx="192">
                  <c:v>2393</c:v>
                </c:pt>
                <c:pt idx="193">
                  <c:v>6482</c:v>
                </c:pt>
                <c:pt idx="194">
                  <c:v>5505</c:v>
                </c:pt>
                <c:pt idx="195">
                  <c:v>2440</c:v>
                </c:pt>
                <c:pt idx="196">
                  <c:v>3282</c:v>
                </c:pt>
                <c:pt idx="197">
                  <c:v>3970</c:v>
                </c:pt>
                <c:pt idx="198">
                  <c:v>2897</c:v>
                </c:pt>
                <c:pt idx="199">
                  <c:v>4331</c:v>
                </c:pt>
                <c:pt idx="200">
                  <c:v>4247</c:v>
                </c:pt>
                <c:pt idx="201">
                  <c:v>1547</c:v>
                </c:pt>
                <c:pt idx="202">
                  <c:v>1191</c:v>
                </c:pt>
                <c:pt idx="203">
                  <c:v>2661</c:v>
                </c:pt>
                <c:pt idx="204">
                  <c:v>917</c:v>
                </c:pt>
                <c:pt idx="205">
                  <c:v>916</c:v>
                </c:pt>
                <c:pt idx="206">
                  <c:v>3018</c:v>
                </c:pt>
                <c:pt idx="207">
                  <c:v>766</c:v>
                </c:pt>
                <c:pt idx="208">
                  <c:v>3554</c:v>
                </c:pt>
                <c:pt idx="209">
                  <c:v>3452</c:v>
                </c:pt>
                <c:pt idx="210">
                  <c:v>1732</c:v>
                </c:pt>
                <c:pt idx="211">
                  <c:v>8437</c:v>
                </c:pt>
                <c:pt idx="212">
                  <c:v>8258</c:v>
                </c:pt>
                <c:pt idx="213">
                  <c:v>1664</c:v>
                </c:pt>
                <c:pt idx="214">
                  <c:v>3732</c:v>
                </c:pt>
                <c:pt idx="215">
                  <c:v>4629</c:v>
                </c:pt>
                <c:pt idx="216">
                  <c:v>1657</c:v>
                </c:pt>
                <c:pt idx="217">
                  <c:v>3278</c:v>
                </c:pt>
                <c:pt idx="218">
                  <c:v>6271</c:v>
                </c:pt>
                <c:pt idx="219">
                  <c:v>3682</c:v>
                </c:pt>
                <c:pt idx="220">
                  <c:v>1343</c:v>
                </c:pt>
                <c:pt idx="221">
                  <c:v>5392</c:v>
                </c:pt>
                <c:pt idx="222">
                  <c:v>3572</c:v>
                </c:pt>
                <c:pt idx="223">
                  <c:v>2690</c:v>
                </c:pt>
                <c:pt idx="224">
                  <c:v>2291</c:v>
                </c:pt>
                <c:pt idx="225">
                  <c:v>5589</c:v>
                </c:pt>
                <c:pt idx="226">
                  <c:v>6134</c:v>
                </c:pt>
                <c:pt idx="227">
                  <c:v>2978</c:v>
                </c:pt>
                <c:pt idx="228">
                  <c:v>924</c:v>
                </c:pt>
                <c:pt idx="229">
                  <c:v>4739</c:v>
                </c:pt>
                <c:pt idx="230">
                  <c:v>3878</c:v>
                </c:pt>
                <c:pt idx="231">
                  <c:v>1340</c:v>
                </c:pt>
                <c:pt idx="232">
                  <c:v>4207</c:v>
                </c:pt>
                <c:pt idx="233">
                  <c:v>2655</c:v>
                </c:pt>
                <c:pt idx="234">
                  <c:v>3547</c:v>
                </c:pt>
                <c:pt idx="235">
                  <c:v>3278</c:v>
                </c:pt>
                <c:pt idx="236">
                  <c:v>2833</c:v>
                </c:pt>
                <c:pt idx="237">
                  <c:v>1110</c:v>
                </c:pt>
                <c:pt idx="238">
                  <c:v>3162</c:v>
                </c:pt>
              </c:numCache>
            </c:numRef>
          </c:xVal>
          <c:yVal>
            <c:numRef>
              <c:f>Dataset!$H$3:$H$241</c:f>
              <c:numCache>
                <c:formatCode>#,##0.00</c:formatCode>
                <c:ptCount val="239"/>
                <c:pt idx="0">
                  <c:v>17.38</c:v>
                </c:pt>
                <c:pt idx="1">
                  <c:v>10.210000000000001</c:v>
                </c:pt>
                <c:pt idx="2">
                  <c:v>16.59</c:v>
                </c:pt>
                <c:pt idx="3">
                  <c:v>14.3</c:v>
                </c:pt>
                <c:pt idx="4">
                  <c:v>11.76</c:v>
                </c:pt>
                <c:pt idx="5">
                  <c:v>1.82</c:v>
                </c:pt>
                <c:pt idx="6">
                  <c:v>26.04</c:v>
                </c:pt>
                <c:pt idx="7">
                  <c:v>10.92</c:v>
                </c:pt>
                <c:pt idx="8">
                  <c:v>16.5</c:v>
                </c:pt>
                <c:pt idx="9">
                  <c:v>36.5</c:v>
                </c:pt>
                <c:pt idx="10">
                  <c:v>-2.97</c:v>
                </c:pt>
                <c:pt idx="11">
                  <c:v>7.26</c:v>
                </c:pt>
                <c:pt idx="12">
                  <c:v>18.57</c:v>
                </c:pt>
                <c:pt idx="13">
                  <c:v>23.96</c:v>
                </c:pt>
                <c:pt idx="14">
                  <c:v>22.35</c:v>
                </c:pt>
                <c:pt idx="15">
                  <c:v>16.690000000000001</c:v>
                </c:pt>
                <c:pt idx="16">
                  <c:v>4.7</c:v>
                </c:pt>
                <c:pt idx="17">
                  <c:v>2.5099999999999998</c:v>
                </c:pt>
                <c:pt idx="18">
                  <c:v>13.59</c:v>
                </c:pt>
                <c:pt idx="19">
                  <c:v>5.17</c:v>
                </c:pt>
                <c:pt idx="20">
                  <c:v>24.74</c:v>
                </c:pt>
                <c:pt idx="21">
                  <c:v>5.17</c:v>
                </c:pt>
                <c:pt idx="22">
                  <c:v>3.93</c:v>
                </c:pt>
                <c:pt idx="23">
                  <c:v>0.85</c:v>
                </c:pt>
                <c:pt idx="24">
                  <c:v>5.03</c:v>
                </c:pt>
                <c:pt idx="25">
                  <c:v>4.91</c:v>
                </c:pt>
                <c:pt idx="26">
                  <c:v>17.72</c:v>
                </c:pt>
                <c:pt idx="27">
                  <c:v>10.77</c:v>
                </c:pt>
                <c:pt idx="28">
                  <c:v>1.84</c:v>
                </c:pt>
                <c:pt idx="29">
                  <c:v>1.34</c:v>
                </c:pt>
                <c:pt idx="30">
                  <c:v>22.01</c:v>
                </c:pt>
                <c:pt idx="31">
                  <c:v>8.65</c:v>
                </c:pt>
                <c:pt idx="32">
                  <c:v>20.88</c:v>
                </c:pt>
                <c:pt idx="33">
                  <c:v>10.99</c:v>
                </c:pt>
                <c:pt idx="34">
                  <c:v>2.33</c:v>
                </c:pt>
                <c:pt idx="36">
                  <c:v>17.11</c:v>
                </c:pt>
                <c:pt idx="37">
                  <c:v>15.13</c:v>
                </c:pt>
                <c:pt idx="38">
                  <c:v>7.34</c:v>
                </c:pt>
                <c:pt idx="39">
                  <c:v>8.5</c:v>
                </c:pt>
                <c:pt idx="40">
                  <c:v>1.1499999999999999</c:v>
                </c:pt>
                <c:pt idx="41">
                  <c:v>24.53</c:v>
                </c:pt>
                <c:pt idx="42">
                  <c:v>4.67</c:v>
                </c:pt>
                <c:pt idx="43">
                  <c:v>27.34</c:v>
                </c:pt>
                <c:pt idx="44">
                  <c:v>27.44</c:v>
                </c:pt>
                <c:pt idx="45">
                  <c:v>4.95</c:v>
                </c:pt>
                <c:pt idx="46">
                  <c:v>13.16</c:v>
                </c:pt>
                <c:pt idx="47">
                  <c:v>7.01</c:v>
                </c:pt>
                <c:pt idx="48">
                  <c:v>6.98</c:v>
                </c:pt>
                <c:pt idx="49">
                  <c:v>13.44</c:v>
                </c:pt>
                <c:pt idx="50">
                  <c:v>13.5</c:v>
                </c:pt>
                <c:pt idx="51">
                  <c:v>2.15</c:v>
                </c:pt>
                <c:pt idx="52">
                  <c:v>3.31</c:v>
                </c:pt>
                <c:pt idx="53">
                  <c:v>5.26</c:v>
                </c:pt>
                <c:pt idx="54">
                  <c:v>3.61</c:v>
                </c:pt>
                <c:pt idx="55">
                  <c:v>11.69</c:v>
                </c:pt>
                <c:pt idx="56">
                  <c:v>18.91</c:v>
                </c:pt>
                <c:pt idx="57">
                  <c:v>2.2799999999999998</c:v>
                </c:pt>
                <c:pt idx="58">
                  <c:v>4.49</c:v>
                </c:pt>
                <c:pt idx="59">
                  <c:v>37.81</c:v>
                </c:pt>
                <c:pt idx="60">
                  <c:v>9.11</c:v>
                </c:pt>
                <c:pt idx="61">
                  <c:v>21.19</c:v>
                </c:pt>
                <c:pt idx="62">
                  <c:v>30.41</c:v>
                </c:pt>
                <c:pt idx="63">
                  <c:v>9.9600000000000009</c:v>
                </c:pt>
                <c:pt idx="64">
                  <c:v>11.17</c:v>
                </c:pt>
                <c:pt idx="65">
                  <c:v>7.76</c:v>
                </c:pt>
                <c:pt idx="66">
                  <c:v>5.8</c:v>
                </c:pt>
                <c:pt idx="67">
                  <c:v>8.5299999999999994</c:v>
                </c:pt>
                <c:pt idx="68">
                  <c:v>20.38</c:v>
                </c:pt>
                <c:pt idx="69">
                  <c:v>8.84</c:v>
                </c:pt>
                <c:pt idx="70">
                  <c:v>8.84</c:v>
                </c:pt>
                <c:pt idx="71">
                  <c:v>3.52</c:v>
                </c:pt>
                <c:pt idx="72">
                  <c:v>35.61</c:v>
                </c:pt>
                <c:pt idx="73">
                  <c:v>16.18</c:v>
                </c:pt>
                <c:pt idx="74">
                  <c:v>17.07</c:v>
                </c:pt>
                <c:pt idx="75">
                  <c:v>6.32</c:v>
                </c:pt>
                <c:pt idx="76">
                  <c:v>9.86</c:v>
                </c:pt>
                <c:pt idx="77">
                  <c:v>4.79</c:v>
                </c:pt>
                <c:pt idx="78">
                  <c:v>5.41</c:v>
                </c:pt>
                <c:pt idx="79">
                  <c:v>24.89</c:v>
                </c:pt>
                <c:pt idx="80">
                  <c:v>5.5</c:v>
                </c:pt>
                <c:pt idx="81">
                  <c:v>2.39</c:v>
                </c:pt>
                <c:pt idx="82">
                  <c:v>2.74</c:v>
                </c:pt>
                <c:pt idx="83">
                  <c:v>4.25</c:v>
                </c:pt>
                <c:pt idx="84">
                  <c:v>10.220000000000001</c:v>
                </c:pt>
                <c:pt idx="85">
                  <c:v>6.62</c:v>
                </c:pt>
                <c:pt idx="86">
                  <c:v>4.42</c:v>
                </c:pt>
                <c:pt idx="87">
                  <c:v>1.72</c:v>
                </c:pt>
                <c:pt idx="88">
                  <c:v>4.62</c:v>
                </c:pt>
                <c:pt idx="89">
                  <c:v>15.35</c:v>
                </c:pt>
                <c:pt idx="90">
                  <c:v>14.38</c:v>
                </c:pt>
                <c:pt idx="91">
                  <c:v>17.13</c:v>
                </c:pt>
                <c:pt idx="92">
                  <c:v>60.46</c:v>
                </c:pt>
                <c:pt idx="93">
                  <c:v>0.9</c:v>
                </c:pt>
                <c:pt idx="94">
                  <c:v>1</c:v>
                </c:pt>
                <c:pt idx="95">
                  <c:v>3.82</c:v>
                </c:pt>
                <c:pt idx="96">
                  <c:v>7.82</c:v>
                </c:pt>
                <c:pt idx="97">
                  <c:v>21.34</c:v>
                </c:pt>
                <c:pt idx="98">
                  <c:v>35.22</c:v>
                </c:pt>
                <c:pt idx="99">
                  <c:v>3.72</c:v>
                </c:pt>
                <c:pt idx="100">
                  <c:v>2.82</c:v>
                </c:pt>
                <c:pt idx="101">
                  <c:v>25.13</c:v>
                </c:pt>
                <c:pt idx="102">
                  <c:v>27.64</c:v>
                </c:pt>
                <c:pt idx="103">
                  <c:v>10.71</c:v>
                </c:pt>
                <c:pt idx="104">
                  <c:v>21.95</c:v>
                </c:pt>
                <c:pt idx="105">
                  <c:v>14.13</c:v>
                </c:pt>
                <c:pt idx="106">
                  <c:v>7.95</c:v>
                </c:pt>
                <c:pt idx="107">
                  <c:v>10.73</c:v>
                </c:pt>
                <c:pt idx="108">
                  <c:v>13.03</c:v>
                </c:pt>
                <c:pt idx="109">
                  <c:v>3.55</c:v>
                </c:pt>
                <c:pt idx="110">
                  <c:v>17.010000000000002</c:v>
                </c:pt>
                <c:pt idx="111">
                  <c:v>2.31</c:v>
                </c:pt>
                <c:pt idx="112">
                  <c:v>1.27</c:v>
                </c:pt>
                <c:pt idx="113">
                  <c:v>5.92</c:v>
                </c:pt>
                <c:pt idx="114">
                  <c:v>10.050000000000001</c:v>
                </c:pt>
                <c:pt idx="115">
                  <c:v>11.88</c:v>
                </c:pt>
                <c:pt idx="116">
                  <c:v>9.2799999999999994</c:v>
                </c:pt>
                <c:pt idx="117">
                  <c:v>5.36</c:v>
                </c:pt>
                <c:pt idx="118">
                  <c:v>2.5499999999999998</c:v>
                </c:pt>
                <c:pt idx="119">
                  <c:v>14.37</c:v>
                </c:pt>
                <c:pt idx="120">
                  <c:v>21.4</c:v>
                </c:pt>
                <c:pt idx="121">
                  <c:v>59.65</c:v>
                </c:pt>
                <c:pt idx="122">
                  <c:v>26.35</c:v>
                </c:pt>
                <c:pt idx="123">
                  <c:v>19.02</c:v>
                </c:pt>
                <c:pt idx="124">
                  <c:v>4.29</c:v>
                </c:pt>
                <c:pt idx="125">
                  <c:v>38.729999999999997</c:v>
                </c:pt>
                <c:pt idx="126">
                  <c:v>15.95</c:v>
                </c:pt>
                <c:pt idx="127">
                  <c:v>30.52</c:v>
                </c:pt>
                <c:pt idx="128">
                  <c:v>23.78</c:v>
                </c:pt>
                <c:pt idx="129">
                  <c:v>11.89</c:v>
                </c:pt>
                <c:pt idx="130">
                  <c:v>6.62</c:v>
                </c:pt>
                <c:pt idx="131">
                  <c:v>10.09</c:v>
                </c:pt>
                <c:pt idx="132">
                  <c:v>11.23</c:v>
                </c:pt>
                <c:pt idx="133">
                  <c:v>24.25</c:v>
                </c:pt>
                <c:pt idx="134">
                  <c:v>33.590000000000003</c:v>
                </c:pt>
                <c:pt idx="135">
                  <c:v>3.08</c:v>
                </c:pt>
                <c:pt idx="136">
                  <c:v>4.21</c:v>
                </c:pt>
                <c:pt idx="137">
                  <c:v>8.35</c:v>
                </c:pt>
                <c:pt idx="138">
                  <c:v>13.08</c:v>
                </c:pt>
                <c:pt idx="139">
                  <c:v>4.45</c:v>
                </c:pt>
                <c:pt idx="140">
                  <c:v>22.02</c:v>
                </c:pt>
                <c:pt idx="141">
                  <c:v>5.43</c:v>
                </c:pt>
                <c:pt idx="142">
                  <c:v>2.6</c:v>
                </c:pt>
                <c:pt idx="143">
                  <c:v>9.7200000000000006</c:v>
                </c:pt>
                <c:pt idx="144">
                  <c:v>16.7</c:v>
                </c:pt>
                <c:pt idx="145">
                  <c:v>5.98</c:v>
                </c:pt>
                <c:pt idx="146">
                  <c:v>17.45</c:v>
                </c:pt>
                <c:pt idx="147">
                  <c:v>4.84</c:v>
                </c:pt>
                <c:pt idx="148">
                  <c:v>7.27</c:v>
                </c:pt>
                <c:pt idx="149">
                  <c:v>11.13</c:v>
                </c:pt>
                <c:pt idx="150">
                  <c:v>41.51</c:v>
                </c:pt>
                <c:pt idx="151">
                  <c:v>31.47</c:v>
                </c:pt>
                <c:pt idx="152">
                  <c:v>37.549999999999997</c:v>
                </c:pt>
                <c:pt idx="153">
                  <c:v>5.62</c:v>
                </c:pt>
                <c:pt idx="154">
                  <c:v>4.07</c:v>
                </c:pt>
                <c:pt idx="155">
                  <c:v>3.62</c:v>
                </c:pt>
                <c:pt idx="156">
                  <c:v>15.13</c:v>
                </c:pt>
                <c:pt idx="157">
                  <c:v>28.69</c:v>
                </c:pt>
                <c:pt idx="158">
                  <c:v>13.6</c:v>
                </c:pt>
                <c:pt idx="159">
                  <c:v>4.18</c:v>
                </c:pt>
                <c:pt idx="160">
                  <c:v>7.8</c:v>
                </c:pt>
                <c:pt idx="161">
                  <c:v>29.28</c:v>
                </c:pt>
                <c:pt idx="162">
                  <c:v>6.01</c:v>
                </c:pt>
                <c:pt idx="163">
                  <c:v>51.11</c:v>
                </c:pt>
                <c:pt idx="164">
                  <c:v>30.44</c:v>
                </c:pt>
                <c:pt idx="165">
                  <c:v>2.2200000000000002</c:v>
                </c:pt>
                <c:pt idx="166">
                  <c:v>2.2799999999999998</c:v>
                </c:pt>
                <c:pt idx="167">
                  <c:v>11.35</c:v>
                </c:pt>
                <c:pt idx="168">
                  <c:v>12.62</c:v>
                </c:pt>
                <c:pt idx="169">
                  <c:v>6.84</c:v>
                </c:pt>
                <c:pt idx="170">
                  <c:v>11.79</c:v>
                </c:pt>
                <c:pt idx="171">
                  <c:v>1.04</c:v>
                </c:pt>
                <c:pt idx="172">
                  <c:v>5.97</c:v>
                </c:pt>
                <c:pt idx="173">
                  <c:v>4.59</c:v>
                </c:pt>
                <c:pt idx="174">
                  <c:v>5.89</c:v>
                </c:pt>
                <c:pt idx="175">
                  <c:v>6.91</c:v>
                </c:pt>
                <c:pt idx="176">
                  <c:v>13.11</c:v>
                </c:pt>
                <c:pt idx="177">
                  <c:v>4.22</c:v>
                </c:pt>
                <c:pt idx="178">
                  <c:v>2.11</c:v>
                </c:pt>
                <c:pt idx="179">
                  <c:v>38.479999999999997</c:v>
                </c:pt>
                <c:pt idx="180">
                  <c:v>36.270000000000003</c:v>
                </c:pt>
                <c:pt idx="181">
                  <c:v>14.37</c:v>
                </c:pt>
                <c:pt idx="182">
                  <c:v>15.35</c:v>
                </c:pt>
                <c:pt idx="183">
                  <c:v>13.91</c:v>
                </c:pt>
                <c:pt idx="184">
                  <c:v>11.63</c:v>
                </c:pt>
                <c:pt idx="185">
                  <c:v>10.3</c:v>
                </c:pt>
                <c:pt idx="186">
                  <c:v>27.78</c:v>
                </c:pt>
                <c:pt idx="187">
                  <c:v>18.93</c:v>
                </c:pt>
                <c:pt idx="188">
                  <c:v>18.510000000000002</c:v>
                </c:pt>
                <c:pt idx="189">
                  <c:v>11.85</c:v>
                </c:pt>
                <c:pt idx="190">
                  <c:v>12.89</c:v>
                </c:pt>
                <c:pt idx="191">
                  <c:v>3.82</c:v>
                </c:pt>
                <c:pt idx="192">
                  <c:v>5.59</c:v>
                </c:pt>
                <c:pt idx="193">
                  <c:v>40.24</c:v>
                </c:pt>
                <c:pt idx="194">
                  <c:v>17.239999999999998</c:v>
                </c:pt>
                <c:pt idx="195">
                  <c:v>2.61</c:v>
                </c:pt>
                <c:pt idx="196">
                  <c:v>8.6199999999999992</c:v>
                </c:pt>
                <c:pt idx="197">
                  <c:v>19.170000000000002</c:v>
                </c:pt>
                <c:pt idx="198">
                  <c:v>7.47</c:v>
                </c:pt>
                <c:pt idx="199">
                  <c:v>15.98</c:v>
                </c:pt>
                <c:pt idx="200">
                  <c:v>31.95</c:v>
                </c:pt>
                <c:pt idx="201">
                  <c:v>1.62</c:v>
                </c:pt>
                <c:pt idx="202">
                  <c:v>1.36</c:v>
                </c:pt>
                <c:pt idx="203">
                  <c:v>13.52</c:v>
                </c:pt>
                <c:pt idx="204">
                  <c:v>2.78</c:v>
                </c:pt>
                <c:pt idx="205">
                  <c:v>7.03</c:v>
                </c:pt>
                <c:pt idx="206">
                  <c:v>12.11</c:v>
                </c:pt>
                <c:pt idx="207">
                  <c:v>1.19</c:v>
                </c:pt>
                <c:pt idx="208">
                  <c:v>2.04</c:v>
                </c:pt>
                <c:pt idx="209">
                  <c:v>14.71</c:v>
                </c:pt>
                <c:pt idx="210">
                  <c:v>7.7</c:v>
                </c:pt>
                <c:pt idx="211">
                  <c:v>29.52</c:v>
                </c:pt>
                <c:pt idx="212">
                  <c:v>59.09</c:v>
                </c:pt>
                <c:pt idx="213">
                  <c:v>2.86</c:v>
                </c:pt>
                <c:pt idx="214">
                  <c:v>7.73</c:v>
                </c:pt>
                <c:pt idx="215">
                  <c:v>20.04</c:v>
                </c:pt>
                <c:pt idx="216">
                  <c:v>7.78</c:v>
                </c:pt>
                <c:pt idx="217">
                  <c:v>19.420000000000002</c:v>
                </c:pt>
                <c:pt idx="218">
                  <c:v>48.49</c:v>
                </c:pt>
                <c:pt idx="219">
                  <c:v>8.02</c:v>
                </c:pt>
                <c:pt idx="220">
                  <c:v>0.9</c:v>
                </c:pt>
                <c:pt idx="221">
                  <c:v>30.45</c:v>
                </c:pt>
                <c:pt idx="222">
                  <c:v>15.6</c:v>
                </c:pt>
                <c:pt idx="223">
                  <c:v>11.45</c:v>
                </c:pt>
                <c:pt idx="224">
                  <c:v>7.71</c:v>
                </c:pt>
                <c:pt idx="225">
                  <c:v>8.57</c:v>
                </c:pt>
                <c:pt idx="226">
                  <c:v>8.6</c:v>
                </c:pt>
                <c:pt idx="227">
                  <c:v>10.98</c:v>
                </c:pt>
                <c:pt idx="228">
                  <c:v>3.46</c:v>
                </c:pt>
                <c:pt idx="229">
                  <c:v>29.14</c:v>
                </c:pt>
                <c:pt idx="230">
                  <c:v>14.14</c:v>
                </c:pt>
                <c:pt idx="231">
                  <c:v>1.6</c:v>
                </c:pt>
                <c:pt idx="232">
                  <c:v>4.33</c:v>
                </c:pt>
                <c:pt idx="233">
                  <c:v>10.72</c:v>
                </c:pt>
                <c:pt idx="234">
                  <c:v>16.07</c:v>
                </c:pt>
                <c:pt idx="235">
                  <c:v>17.13</c:v>
                </c:pt>
                <c:pt idx="236">
                  <c:v>12.13</c:v>
                </c:pt>
                <c:pt idx="237">
                  <c:v>1.47</c:v>
                </c:pt>
                <c:pt idx="238">
                  <c:v>7.69</c:v>
                </c:pt>
              </c:numCache>
            </c:numRef>
          </c:yVal>
          <c:smooth val="0"/>
          <c:extLst>
            <c:ext xmlns:c16="http://schemas.microsoft.com/office/drawing/2014/chart" uri="{C3380CC4-5D6E-409C-BE32-E72D297353CC}">
              <c16:uniqueId val="{00000000-49FF-48D0-98BA-37796A7B3CE6}"/>
            </c:ext>
          </c:extLst>
        </c:ser>
        <c:dLbls>
          <c:showLegendKey val="0"/>
          <c:showVal val="0"/>
          <c:showCatName val="0"/>
          <c:showSerName val="0"/>
          <c:showPercent val="0"/>
          <c:showBubbleSize val="0"/>
        </c:dLbls>
        <c:axId val="569595080"/>
        <c:axId val="562527872"/>
      </c:scatterChart>
      <c:valAx>
        <c:axId val="569595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27872"/>
        <c:crosses val="autoZero"/>
        <c:crossBetween val="midCat"/>
      </c:valAx>
      <c:valAx>
        <c:axId val="562527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5950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Pivot!A1"/><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19844</xdr:colOff>
      <xdr:row>0</xdr:row>
      <xdr:rowOff>0</xdr:rowOff>
    </xdr:from>
    <xdr:to>
      <xdr:col>23</xdr:col>
      <xdr:colOff>15961</xdr:colOff>
      <xdr:row>38</xdr:row>
      <xdr:rowOff>36919</xdr:rowOff>
    </xdr:to>
    <xdr:sp macro="" textlink="">
      <xdr:nvSpPr>
        <xdr:cNvPr id="3" name="Rectangle 2">
          <a:extLst>
            <a:ext uri="{FF2B5EF4-FFF2-40B4-BE49-F238E27FC236}">
              <a16:creationId xmlns:a16="http://schemas.microsoft.com/office/drawing/2014/main" id="{CD8FEB42-1B67-B046-DAD1-22AB03A27DFD}"/>
            </a:ext>
          </a:extLst>
        </xdr:cNvPr>
        <xdr:cNvSpPr/>
      </xdr:nvSpPr>
      <xdr:spPr>
        <a:xfrm>
          <a:off x="19844" y="0"/>
          <a:ext cx="13870268" cy="6866164"/>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0</xdr:colOff>
      <xdr:row>0</xdr:row>
      <xdr:rowOff>0</xdr:rowOff>
    </xdr:from>
    <xdr:to>
      <xdr:col>23</xdr:col>
      <xdr:colOff>15961</xdr:colOff>
      <xdr:row>38</xdr:row>
      <xdr:rowOff>40240</xdr:rowOff>
    </xdr:to>
    <xdr:sp macro="" textlink="">
      <xdr:nvSpPr>
        <xdr:cNvPr id="5" name="Rectangle 4">
          <a:extLst>
            <a:ext uri="{FF2B5EF4-FFF2-40B4-BE49-F238E27FC236}">
              <a16:creationId xmlns:a16="http://schemas.microsoft.com/office/drawing/2014/main" id="{A5337E9E-EF9B-6B81-9D9C-14DEDDCFEAB8}"/>
            </a:ext>
          </a:extLst>
        </xdr:cNvPr>
        <xdr:cNvSpPr/>
      </xdr:nvSpPr>
      <xdr:spPr>
        <a:xfrm>
          <a:off x="1651000" y="0"/>
          <a:ext cx="12292628" cy="6877073"/>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0</xdr:col>
      <xdr:colOff>51588</xdr:colOff>
      <xdr:row>1</xdr:row>
      <xdr:rowOff>7762</xdr:rowOff>
    </xdr:from>
    <xdr:to>
      <xdr:col>3</xdr:col>
      <xdr:colOff>2370</xdr:colOff>
      <xdr:row>6</xdr:row>
      <xdr:rowOff>0</xdr:rowOff>
    </xdr:to>
    <xdr:pic>
      <xdr:nvPicPr>
        <xdr:cNvPr id="6" name="Picture 5">
          <a:extLst>
            <a:ext uri="{FF2B5EF4-FFF2-40B4-BE49-F238E27FC236}">
              <a16:creationId xmlns:a16="http://schemas.microsoft.com/office/drawing/2014/main" id="{E604AE30-EFEE-FAF2-76BA-CB0AABAF2F53}"/>
            </a:ext>
          </a:extLst>
        </xdr:cNvPr>
        <xdr:cNvPicPr>
          <a:picLocks noChangeAspect="1"/>
        </xdr:cNvPicPr>
      </xdr:nvPicPr>
      <xdr:blipFill>
        <a:blip xmlns:r="http://schemas.openxmlformats.org/officeDocument/2006/relationships" r:embed="rId1"/>
        <a:stretch>
          <a:fillRect/>
        </a:stretch>
      </xdr:blipFill>
      <xdr:spPr>
        <a:xfrm>
          <a:off x="51588" y="187679"/>
          <a:ext cx="1601782" cy="891821"/>
        </a:xfrm>
        <a:prstGeom prst="rect">
          <a:avLst/>
        </a:prstGeom>
      </xdr:spPr>
    </xdr:pic>
    <xdr:clientData/>
  </xdr:twoCellAnchor>
  <xdr:twoCellAnchor editAs="oneCell">
    <xdr:from>
      <xdr:col>8</xdr:col>
      <xdr:colOff>530329</xdr:colOff>
      <xdr:row>0</xdr:row>
      <xdr:rowOff>146541</xdr:rowOff>
    </xdr:from>
    <xdr:to>
      <xdr:col>23</xdr:col>
      <xdr:colOff>0</xdr:colOff>
      <xdr:row>5</xdr:row>
      <xdr:rowOff>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9E7CD5D-D258-48F6-B7DC-2AA144CC42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38914" y="146541"/>
              <a:ext cx="8635237" cy="752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111646</xdr:colOff>
      <xdr:row>0</xdr:row>
      <xdr:rowOff>118628</xdr:rowOff>
    </xdr:from>
    <xdr:to>
      <xdr:col>8</xdr:col>
      <xdr:colOff>425659</xdr:colOff>
      <xdr:row>5</xdr:row>
      <xdr:rowOff>98777</xdr:rowOff>
    </xdr:to>
    <mc:AlternateContent xmlns:mc="http://schemas.openxmlformats.org/markup-compatibility/2006" xmlns:a14="http://schemas.microsoft.com/office/drawing/2010/main">
      <mc:Choice Requires="a14">
        <xdr:graphicFrame macro="">
          <xdr:nvGraphicFramePr>
            <xdr:cNvPr id="8" name="Fiscal_Quarter">
              <a:extLst>
                <a:ext uri="{FF2B5EF4-FFF2-40B4-BE49-F238E27FC236}">
                  <a16:creationId xmlns:a16="http://schemas.microsoft.com/office/drawing/2014/main" id="{76C1610B-CE06-427F-B329-CF6D3F7E17A6}"/>
                </a:ext>
              </a:extLst>
            </xdr:cNvPr>
            <xdr:cNvGraphicFramePr/>
          </xdr:nvGraphicFramePr>
          <xdr:xfrm>
            <a:off x="0" y="0"/>
            <a:ext cx="0" cy="0"/>
          </xdr:xfrm>
          <a:graphic>
            <a:graphicData uri="http://schemas.microsoft.com/office/drawing/2010/slicer">
              <sle:slicer xmlns:sle="http://schemas.microsoft.com/office/drawing/2010/slicer" name="Fiscal_Quarter"/>
            </a:graphicData>
          </a:graphic>
        </xdr:graphicFrame>
      </mc:Choice>
      <mc:Fallback xmlns="">
        <xdr:sp macro="" textlink="">
          <xdr:nvSpPr>
            <xdr:cNvPr id="0" name=""/>
            <xdr:cNvSpPr>
              <a:spLocks noTextEdit="1"/>
            </xdr:cNvSpPr>
          </xdr:nvSpPr>
          <xdr:spPr>
            <a:xfrm>
              <a:off x="1765042" y="118628"/>
              <a:ext cx="3369202" cy="878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118625</xdr:colOff>
      <xdr:row>7</xdr:row>
      <xdr:rowOff>89598</xdr:rowOff>
    </xdr:from>
    <xdr:to>
      <xdr:col>9</xdr:col>
      <xdr:colOff>495440</xdr:colOff>
      <xdr:row>10</xdr:row>
      <xdr:rowOff>145420</xdr:rowOff>
    </xdr:to>
    <xdr:sp macro="" textlink="">
      <xdr:nvSpPr>
        <xdr:cNvPr id="15" name="Rectangle 14">
          <a:extLst>
            <a:ext uri="{FF2B5EF4-FFF2-40B4-BE49-F238E27FC236}">
              <a16:creationId xmlns:a16="http://schemas.microsoft.com/office/drawing/2014/main" id="{559A7B1A-CE87-4F1F-BCF2-9551FEF172BD}"/>
            </a:ext>
          </a:extLst>
        </xdr:cNvPr>
        <xdr:cNvSpPr/>
      </xdr:nvSpPr>
      <xdr:spPr>
        <a:xfrm>
          <a:off x="4368240" y="1359598"/>
          <a:ext cx="1590991" cy="600108"/>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188852</xdr:colOff>
      <xdr:row>6</xdr:row>
      <xdr:rowOff>47103</xdr:rowOff>
    </xdr:from>
    <xdr:to>
      <xdr:col>6</xdr:col>
      <xdr:colOff>0</xdr:colOff>
      <xdr:row>9</xdr:row>
      <xdr:rowOff>183520</xdr:rowOff>
    </xdr:to>
    <xdr:grpSp>
      <xdr:nvGrpSpPr>
        <xdr:cNvPr id="54" name="Group 53">
          <a:extLst>
            <a:ext uri="{FF2B5EF4-FFF2-40B4-BE49-F238E27FC236}">
              <a16:creationId xmlns:a16="http://schemas.microsoft.com/office/drawing/2014/main" id="{3C483620-9B1A-AE2E-4A94-5D5D008EABC8}"/>
            </a:ext>
          </a:extLst>
        </xdr:cNvPr>
        <xdr:cNvGrpSpPr/>
      </xdr:nvGrpSpPr>
      <xdr:grpSpPr>
        <a:xfrm>
          <a:off x="1832595" y="1157446"/>
          <a:ext cx="1639948" cy="691588"/>
          <a:chOff x="1772164" y="1244462"/>
          <a:chExt cx="1717154" cy="781188"/>
        </a:xfrm>
      </xdr:grpSpPr>
      <xdr:grpSp>
        <xdr:nvGrpSpPr>
          <xdr:cNvPr id="16" name="Group 15">
            <a:extLst>
              <a:ext uri="{FF2B5EF4-FFF2-40B4-BE49-F238E27FC236}">
                <a16:creationId xmlns:a16="http://schemas.microsoft.com/office/drawing/2014/main" id="{8027B600-0B02-2050-7A84-52D7B267FA0E}"/>
              </a:ext>
            </a:extLst>
          </xdr:cNvPr>
          <xdr:cNvGrpSpPr/>
        </xdr:nvGrpSpPr>
        <xdr:grpSpPr>
          <a:xfrm>
            <a:off x="1772164" y="1244462"/>
            <a:ext cx="1717154" cy="781188"/>
            <a:chOff x="1932910" y="1228133"/>
            <a:chExt cx="1709617" cy="767581"/>
          </a:xfrm>
        </xdr:grpSpPr>
        <xdr:sp macro="" textlink="">
          <xdr:nvSpPr>
            <xdr:cNvPr id="9" name="Rectangle 8">
              <a:extLst>
                <a:ext uri="{FF2B5EF4-FFF2-40B4-BE49-F238E27FC236}">
                  <a16:creationId xmlns:a16="http://schemas.microsoft.com/office/drawing/2014/main" id="{E32D3232-E65B-D1DA-CCCA-3B276D6A14E6}"/>
                </a:ext>
              </a:extLst>
            </xdr:cNvPr>
            <xdr:cNvSpPr/>
          </xdr:nvSpPr>
          <xdr:spPr>
            <a:xfrm>
              <a:off x="1932910" y="1228133"/>
              <a:ext cx="1709617" cy="767581"/>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E7444A38-C43A-422F-A33C-E31C6E188793}"/>
                </a:ext>
              </a:extLst>
            </xdr:cNvPr>
            <xdr:cNvSpPr/>
          </xdr:nvSpPr>
          <xdr:spPr>
            <a:xfrm>
              <a:off x="2085311" y="1359598"/>
              <a:ext cx="1557216" cy="600109"/>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TextBox 28">
            <a:extLst>
              <a:ext uri="{FF2B5EF4-FFF2-40B4-BE49-F238E27FC236}">
                <a16:creationId xmlns:a16="http://schemas.microsoft.com/office/drawing/2014/main" id="{5CF398F8-9AA8-C71C-1AFB-F07DCBABDE11}"/>
              </a:ext>
            </a:extLst>
          </xdr:cNvPr>
          <xdr:cNvSpPr txBox="1"/>
        </xdr:nvSpPr>
        <xdr:spPr>
          <a:xfrm>
            <a:off x="1915895" y="1378647"/>
            <a:ext cx="1563905" cy="27598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bg1"/>
                </a:solidFill>
                <a:latin typeface="Cambria" panose="02040503050406030204" pitchFamily="18" charset="0"/>
                <a:ea typeface="Cambria" panose="02040503050406030204" pitchFamily="18" charset="0"/>
              </a:rPr>
              <a:t>Total Revenue</a:t>
            </a:r>
          </a:p>
        </xdr:txBody>
      </xdr:sp>
      <xdr:sp macro="" textlink="Pivot!B87">
        <xdr:nvSpPr>
          <xdr:cNvPr id="30" name="TextBox 29">
            <a:extLst>
              <a:ext uri="{FF2B5EF4-FFF2-40B4-BE49-F238E27FC236}">
                <a16:creationId xmlns:a16="http://schemas.microsoft.com/office/drawing/2014/main" id="{9CCF8A3E-229A-432E-9EEB-86BFF7AFFECD}"/>
              </a:ext>
            </a:extLst>
          </xdr:cNvPr>
          <xdr:cNvSpPr txBox="1"/>
        </xdr:nvSpPr>
        <xdr:spPr>
          <a:xfrm>
            <a:off x="1925413" y="1654627"/>
            <a:ext cx="1563905" cy="278702"/>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744DF2-2220-4684-A496-155D211B2C44}" type="TxLink">
              <a:rPr lang="en-US" sz="1050" b="1" i="0" u="none" strike="noStrike">
                <a:solidFill>
                  <a:schemeClr val="bg1"/>
                </a:solidFill>
                <a:latin typeface="Calibri"/>
                <a:ea typeface="Calibri"/>
                <a:cs typeface="Calibri"/>
              </a:rPr>
              <a:pPr/>
              <a:t>$3,140.47</a:t>
            </a:fld>
            <a:endParaRPr lang="en-IN" sz="1050" b="1">
              <a:solidFill>
                <a:schemeClr val="bg1"/>
              </a:solidFill>
            </a:endParaRPr>
          </a:p>
        </xdr:txBody>
      </xdr:sp>
    </xdr:grpSp>
    <xdr:clientData/>
  </xdr:twoCellAnchor>
  <xdr:twoCellAnchor>
    <xdr:from>
      <xdr:col>6</xdr:col>
      <xdr:colOff>269630</xdr:colOff>
      <xdr:row>6</xdr:row>
      <xdr:rowOff>47103</xdr:rowOff>
    </xdr:from>
    <xdr:to>
      <xdr:col>8</xdr:col>
      <xdr:colOff>609599</xdr:colOff>
      <xdr:row>10</xdr:row>
      <xdr:rowOff>0</xdr:rowOff>
    </xdr:to>
    <xdr:grpSp>
      <xdr:nvGrpSpPr>
        <xdr:cNvPr id="55" name="Group 54">
          <a:extLst>
            <a:ext uri="{FF2B5EF4-FFF2-40B4-BE49-F238E27FC236}">
              <a16:creationId xmlns:a16="http://schemas.microsoft.com/office/drawing/2014/main" id="{EE9D5C62-4790-AF58-2BE4-716F368A0780}"/>
            </a:ext>
          </a:extLst>
        </xdr:cNvPr>
        <xdr:cNvGrpSpPr/>
      </xdr:nvGrpSpPr>
      <xdr:grpSpPr>
        <a:xfrm>
          <a:off x="3742173" y="1157446"/>
          <a:ext cx="1559169" cy="693125"/>
          <a:chOff x="3933372" y="1216371"/>
          <a:chExt cx="1731997" cy="778466"/>
        </a:xfrm>
      </xdr:grpSpPr>
      <xdr:grpSp>
        <xdr:nvGrpSpPr>
          <xdr:cNvPr id="31" name="Group 30">
            <a:extLst>
              <a:ext uri="{FF2B5EF4-FFF2-40B4-BE49-F238E27FC236}">
                <a16:creationId xmlns:a16="http://schemas.microsoft.com/office/drawing/2014/main" id="{D2470CA6-EA9F-4A1C-9959-7F17D38AD7D7}"/>
              </a:ext>
            </a:extLst>
          </xdr:cNvPr>
          <xdr:cNvGrpSpPr/>
        </xdr:nvGrpSpPr>
        <xdr:grpSpPr>
          <a:xfrm>
            <a:off x="3933372" y="1216371"/>
            <a:ext cx="1717153" cy="778466"/>
            <a:chOff x="1932910" y="1228133"/>
            <a:chExt cx="1709617" cy="767581"/>
          </a:xfrm>
        </xdr:grpSpPr>
        <xdr:sp macro="" textlink="">
          <xdr:nvSpPr>
            <xdr:cNvPr id="32" name="Rectangle 31">
              <a:extLst>
                <a:ext uri="{FF2B5EF4-FFF2-40B4-BE49-F238E27FC236}">
                  <a16:creationId xmlns:a16="http://schemas.microsoft.com/office/drawing/2014/main" id="{A71365AC-D146-9B2B-40B0-99341FBD37EE}"/>
                </a:ext>
              </a:extLst>
            </xdr:cNvPr>
            <xdr:cNvSpPr/>
          </xdr:nvSpPr>
          <xdr:spPr>
            <a:xfrm>
              <a:off x="1932910" y="1228133"/>
              <a:ext cx="1709617" cy="767581"/>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32">
              <a:extLst>
                <a:ext uri="{FF2B5EF4-FFF2-40B4-BE49-F238E27FC236}">
                  <a16:creationId xmlns:a16="http://schemas.microsoft.com/office/drawing/2014/main" id="{504C4BE8-BC4D-D6BC-F075-E51B2A0F683F}"/>
                </a:ext>
              </a:extLst>
            </xdr:cNvPr>
            <xdr:cNvSpPr/>
          </xdr:nvSpPr>
          <xdr:spPr>
            <a:xfrm>
              <a:off x="2085311" y="1359598"/>
              <a:ext cx="1557216" cy="600109"/>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Pivot!B88">
        <xdr:nvSpPr>
          <xdr:cNvPr id="35" name="TextBox 34">
            <a:extLst>
              <a:ext uri="{FF2B5EF4-FFF2-40B4-BE49-F238E27FC236}">
                <a16:creationId xmlns:a16="http://schemas.microsoft.com/office/drawing/2014/main" id="{0B78F5F0-A616-4535-916D-02E21B22D1A9}"/>
              </a:ext>
            </a:extLst>
          </xdr:cNvPr>
          <xdr:cNvSpPr txBox="1"/>
        </xdr:nvSpPr>
        <xdr:spPr>
          <a:xfrm>
            <a:off x="4089400" y="1603850"/>
            <a:ext cx="1564564" cy="278702"/>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1C7A54-4478-49F8-93D8-644EE5D45A51}" type="TxLink">
              <a:rPr lang="en-US" sz="1000" b="1" i="0" u="none" strike="noStrike">
                <a:solidFill>
                  <a:schemeClr val="bg1"/>
                </a:solidFill>
                <a:latin typeface="Calibri"/>
                <a:ea typeface="Calibri"/>
                <a:cs typeface="Calibri"/>
              </a:rPr>
              <a:pPr/>
              <a:t> 828,946 </a:t>
            </a:fld>
            <a:endParaRPr lang="en-IN" sz="1000" b="1">
              <a:solidFill>
                <a:schemeClr val="bg1"/>
              </a:solidFill>
            </a:endParaRPr>
          </a:p>
        </xdr:txBody>
      </xdr:sp>
      <xdr:sp macro="" textlink="">
        <xdr:nvSpPr>
          <xdr:cNvPr id="39" name="TextBox 38">
            <a:extLst>
              <a:ext uri="{FF2B5EF4-FFF2-40B4-BE49-F238E27FC236}">
                <a16:creationId xmlns:a16="http://schemas.microsoft.com/office/drawing/2014/main" id="{2D312A84-F460-48F8-8F47-4C13E1EA8247}"/>
              </a:ext>
            </a:extLst>
          </xdr:cNvPr>
          <xdr:cNvSpPr txBox="1"/>
        </xdr:nvSpPr>
        <xdr:spPr>
          <a:xfrm>
            <a:off x="4103279" y="1317748"/>
            <a:ext cx="1562090" cy="27598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bg1"/>
                </a:solidFill>
                <a:latin typeface="Cambria" panose="02040503050406030204" pitchFamily="18" charset="0"/>
                <a:ea typeface="Cambria" panose="02040503050406030204" pitchFamily="18" charset="0"/>
              </a:rPr>
              <a:t>Total Units Sold</a:t>
            </a:r>
          </a:p>
        </xdr:txBody>
      </xdr:sp>
    </xdr:grpSp>
    <xdr:clientData/>
  </xdr:twoCellAnchor>
  <xdr:twoCellAnchor>
    <xdr:from>
      <xdr:col>9</xdr:col>
      <xdr:colOff>490288</xdr:colOff>
      <xdr:row>6</xdr:row>
      <xdr:rowOff>34014</xdr:rowOff>
    </xdr:from>
    <xdr:to>
      <xdr:col>11</xdr:col>
      <xdr:colOff>604448</xdr:colOff>
      <xdr:row>9</xdr:row>
      <xdr:rowOff>152668</xdr:rowOff>
    </xdr:to>
    <xdr:grpSp>
      <xdr:nvGrpSpPr>
        <xdr:cNvPr id="56" name="Group 55">
          <a:extLst>
            <a:ext uri="{FF2B5EF4-FFF2-40B4-BE49-F238E27FC236}">
              <a16:creationId xmlns:a16="http://schemas.microsoft.com/office/drawing/2014/main" id="{FE714474-2608-FAEC-A6F7-E2B5027E69EC}"/>
            </a:ext>
          </a:extLst>
        </xdr:cNvPr>
        <xdr:cNvGrpSpPr/>
      </xdr:nvGrpSpPr>
      <xdr:grpSpPr>
        <a:xfrm>
          <a:off x="5791631" y="1144357"/>
          <a:ext cx="1333360" cy="673825"/>
          <a:chOff x="6029847" y="1208454"/>
          <a:chExt cx="1723813" cy="778466"/>
        </a:xfrm>
      </xdr:grpSpPr>
      <xdr:grpSp>
        <xdr:nvGrpSpPr>
          <xdr:cNvPr id="36" name="Group 35">
            <a:extLst>
              <a:ext uri="{FF2B5EF4-FFF2-40B4-BE49-F238E27FC236}">
                <a16:creationId xmlns:a16="http://schemas.microsoft.com/office/drawing/2014/main" id="{451BA5FD-7DCD-4490-9F35-3A7B81E0D32A}"/>
              </a:ext>
            </a:extLst>
          </xdr:cNvPr>
          <xdr:cNvGrpSpPr/>
        </xdr:nvGrpSpPr>
        <xdr:grpSpPr>
          <a:xfrm>
            <a:off x="6029847" y="1208454"/>
            <a:ext cx="1717153" cy="778466"/>
            <a:chOff x="1932910" y="1228133"/>
            <a:chExt cx="1709617" cy="767581"/>
          </a:xfrm>
        </xdr:grpSpPr>
        <xdr:sp macro="" textlink="">
          <xdr:nvSpPr>
            <xdr:cNvPr id="37" name="Rectangle 36">
              <a:extLst>
                <a:ext uri="{FF2B5EF4-FFF2-40B4-BE49-F238E27FC236}">
                  <a16:creationId xmlns:a16="http://schemas.microsoft.com/office/drawing/2014/main" id="{CDD0D054-93DA-0818-BBD3-4398ABD3920D}"/>
                </a:ext>
              </a:extLst>
            </xdr:cNvPr>
            <xdr:cNvSpPr/>
          </xdr:nvSpPr>
          <xdr:spPr>
            <a:xfrm>
              <a:off x="1932910" y="1228133"/>
              <a:ext cx="1709617" cy="767581"/>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38" name="Rectangle 37">
              <a:extLst>
                <a:ext uri="{FF2B5EF4-FFF2-40B4-BE49-F238E27FC236}">
                  <a16:creationId xmlns:a16="http://schemas.microsoft.com/office/drawing/2014/main" id="{1DB12042-1826-8986-B81C-8C2449942372}"/>
                </a:ext>
              </a:extLst>
            </xdr:cNvPr>
            <xdr:cNvSpPr/>
          </xdr:nvSpPr>
          <xdr:spPr>
            <a:xfrm>
              <a:off x="2085311" y="1359598"/>
              <a:ext cx="1557216" cy="600109"/>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grpSp>
      <xdr:sp macro="" textlink="">
        <xdr:nvSpPr>
          <xdr:cNvPr id="40" name="TextBox 39">
            <a:extLst>
              <a:ext uri="{FF2B5EF4-FFF2-40B4-BE49-F238E27FC236}">
                <a16:creationId xmlns:a16="http://schemas.microsoft.com/office/drawing/2014/main" id="{72EA7954-3C93-41A8-B976-6102333B8F11}"/>
              </a:ext>
            </a:extLst>
          </xdr:cNvPr>
          <xdr:cNvSpPr txBox="1"/>
        </xdr:nvSpPr>
        <xdr:spPr>
          <a:xfrm>
            <a:off x="6183096" y="1350557"/>
            <a:ext cx="1563904" cy="27598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Cambria" panose="02040503050406030204" pitchFamily="18" charset="0"/>
                <a:ea typeface="Cambria" panose="02040503050406030204" pitchFamily="18" charset="0"/>
              </a:rPr>
              <a:t>Total</a:t>
            </a:r>
            <a:r>
              <a:rPr lang="en-IN" sz="1000" b="1" baseline="0">
                <a:solidFill>
                  <a:schemeClr val="bg1"/>
                </a:solidFill>
                <a:latin typeface="Cambria" panose="02040503050406030204" pitchFamily="18" charset="0"/>
                <a:ea typeface="Cambria" panose="02040503050406030204" pitchFamily="18" charset="0"/>
              </a:rPr>
              <a:t> Profit</a:t>
            </a:r>
            <a:endParaRPr lang="en-IN" sz="1000" b="1">
              <a:solidFill>
                <a:schemeClr val="bg1"/>
              </a:solidFill>
              <a:latin typeface="Cambria" panose="02040503050406030204" pitchFamily="18" charset="0"/>
              <a:ea typeface="Cambria" panose="02040503050406030204" pitchFamily="18" charset="0"/>
            </a:endParaRPr>
          </a:p>
        </xdr:txBody>
      </xdr:sp>
      <xdr:sp macro="" textlink="Pivot!B90">
        <xdr:nvSpPr>
          <xdr:cNvPr id="41" name="TextBox 40">
            <a:extLst>
              <a:ext uri="{FF2B5EF4-FFF2-40B4-BE49-F238E27FC236}">
                <a16:creationId xmlns:a16="http://schemas.microsoft.com/office/drawing/2014/main" id="{98FB806D-8D09-4E5D-8F53-2BFB012D741C}"/>
              </a:ext>
            </a:extLst>
          </xdr:cNvPr>
          <xdr:cNvSpPr txBox="1"/>
        </xdr:nvSpPr>
        <xdr:spPr>
          <a:xfrm>
            <a:off x="6187282" y="1593728"/>
            <a:ext cx="1566378" cy="278702"/>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361730-0CDD-4D9D-A76B-6392B05FA6FB}" type="TxLink">
              <a:rPr lang="en-US" sz="1000" b="1" i="0" u="none" strike="noStrike">
                <a:solidFill>
                  <a:schemeClr val="bg1"/>
                </a:solidFill>
                <a:latin typeface="Calibri"/>
                <a:ea typeface="Calibri"/>
                <a:cs typeface="Calibri"/>
              </a:rPr>
              <a:pPr/>
              <a:t>$1,098.86</a:t>
            </a:fld>
            <a:endParaRPr lang="en-IN" sz="1000" b="1">
              <a:solidFill>
                <a:schemeClr val="bg1"/>
              </a:solidFill>
            </a:endParaRPr>
          </a:p>
        </xdr:txBody>
      </xdr:sp>
    </xdr:grpSp>
    <xdr:clientData/>
  </xdr:twoCellAnchor>
  <xdr:twoCellAnchor>
    <xdr:from>
      <xdr:col>3</xdr:col>
      <xdr:colOff>99319</xdr:colOff>
      <xdr:row>10</xdr:row>
      <xdr:rowOff>145420</xdr:rowOff>
    </xdr:from>
    <xdr:to>
      <xdr:col>10</xdr:col>
      <xdr:colOff>6417</xdr:colOff>
      <xdr:row>22</xdr:row>
      <xdr:rowOff>61498</xdr:rowOff>
    </xdr:to>
    <xdr:grpSp>
      <xdr:nvGrpSpPr>
        <xdr:cNvPr id="57" name="Group 56">
          <a:extLst>
            <a:ext uri="{FF2B5EF4-FFF2-40B4-BE49-F238E27FC236}">
              <a16:creationId xmlns:a16="http://schemas.microsoft.com/office/drawing/2014/main" id="{B39EAFAE-136C-933B-58B9-C91E995B6BAC}"/>
            </a:ext>
          </a:extLst>
        </xdr:cNvPr>
        <xdr:cNvGrpSpPr/>
      </xdr:nvGrpSpPr>
      <xdr:grpSpPr>
        <a:xfrm>
          <a:off x="1743062" y="1995991"/>
          <a:ext cx="4174298" cy="2136764"/>
          <a:chOff x="1773344" y="2186347"/>
          <a:chExt cx="4155554" cy="2417404"/>
        </a:xfrm>
      </xdr:grpSpPr>
      <xdr:sp macro="" textlink="">
        <xdr:nvSpPr>
          <xdr:cNvPr id="45" name="Rectangle 44">
            <a:extLst>
              <a:ext uri="{FF2B5EF4-FFF2-40B4-BE49-F238E27FC236}">
                <a16:creationId xmlns:a16="http://schemas.microsoft.com/office/drawing/2014/main" id="{57CE24F5-A8B1-4B28-8519-567DDA68068F}"/>
              </a:ext>
            </a:extLst>
          </xdr:cNvPr>
          <xdr:cNvSpPr/>
        </xdr:nvSpPr>
        <xdr:spPr>
          <a:xfrm>
            <a:off x="1773344" y="2186347"/>
            <a:ext cx="4155554" cy="2417404"/>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7" name="Chart 46">
            <a:extLst>
              <a:ext uri="{FF2B5EF4-FFF2-40B4-BE49-F238E27FC236}">
                <a16:creationId xmlns:a16="http://schemas.microsoft.com/office/drawing/2014/main" id="{612E56CC-B645-4976-8AC2-8190A073869B}"/>
              </a:ext>
            </a:extLst>
          </xdr:cNvPr>
          <xdr:cNvGraphicFramePr>
            <a:graphicFrameLocks/>
          </xdr:cNvGraphicFramePr>
        </xdr:nvGraphicFramePr>
        <xdr:xfrm>
          <a:off x="1813511" y="2237015"/>
          <a:ext cx="4054127" cy="228995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16</xdr:col>
      <xdr:colOff>250933</xdr:colOff>
      <xdr:row>6</xdr:row>
      <xdr:rowOff>53592</xdr:rowOff>
    </xdr:from>
    <xdr:to>
      <xdr:col>23</xdr:col>
      <xdr:colOff>15961</xdr:colOff>
      <xdr:row>22</xdr:row>
      <xdr:rowOff>61498</xdr:rowOff>
    </xdr:to>
    <xdr:grpSp>
      <xdr:nvGrpSpPr>
        <xdr:cNvPr id="60" name="Group 59">
          <a:extLst>
            <a:ext uri="{FF2B5EF4-FFF2-40B4-BE49-F238E27FC236}">
              <a16:creationId xmlns:a16="http://schemas.microsoft.com/office/drawing/2014/main" id="{7CA38AB3-E90F-665E-A6F9-039949282490}"/>
            </a:ext>
          </a:extLst>
        </xdr:cNvPr>
        <xdr:cNvGrpSpPr/>
      </xdr:nvGrpSpPr>
      <xdr:grpSpPr>
        <a:xfrm>
          <a:off x="9819476" y="1163935"/>
          <a:ext cx="4032228" cy="2968820"/>
          <a:chOff x="10015623" y="1157940"/>
          <a:chExt cx="3713800" cy="4179741"/>
        </a:xfrm>
      </xdr:grpSpPr>
      <xdr:sp macro="" textlink="">
        <xdr:nvSpPr>
          <xdr:cNvPr id="42" name="Rectangle 41">
            <a:extLst>
              <a:ext uri="{FF2B5EF4-FFF2-40B4-BE49-F238E27FC236}">
                <a16:creationId xmlns:a16="http://schemas.microsoft.com/office/drawing/2014/main" id="{0FC5D911-CB8A-E91D-0221-6A8BFC9864E0}"/>
              </a:ext>
            </a:extLst>
          </xdr:cNvPr>
          <xdr:cNvSpPr/>
        </xdr:nvSpPr>
        <xdr:spPr>
          <a:xfrm>
            <a:off x="10015623" y="1157940"/>
            <a:ext cx="3713800" cy="4179741"/>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9" name="Chart 48">
            <a:extLst>
              <a:ext uri="{FF2B5EF4-FFF2-40B4-BE49-F238E27FC236}">
                <a16:creationId xmlns:a16="http://schemas.microsoft.com/office/drawing/2014/main" id="{726F321E-5279-4CF1-8954-C25E55FC767A}"/>
              </a:ext>
            </a:extLst>
          </xdr:cNvPr>
          <xdr:cNvGraphicFramePr>
            <a:graphicFrameLocks/>
          </xdr:cNvGraphicFramePr>
        </xdr:nvGraphicFramePr>
        <xdr:xfrm>
          <a:off x="10085075" y="1259132"/>
          <a:ext cx="3644348" cy="39865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138535</xdr:colOff>
      <xdr:row>23</xdr:row>
      <xdr:rowOff>0</xdr:rowOff>
    </xdr:from>
    <xdr:to>
      <xdr:col>10</xdr:col>
      <xdr:colOff>1165</xdr:colOff>
      <xdr:row>34</xdr:row>
      <xdr:rowOff>158306</xdr:rowOff>
    </xdr:to>
    <xdr:grpSp>
      <xdr:nvGrpSpPr>
        <xdr:cNvPr id="59" name="Group 58">
          <a:extLst>
            <a:ext uri="{FF2B5EF4-FFF2-40B4-BE49-F238E27FC236}">
              <a16:creationId xmlns:a16="http://schemas.microsoft.com/office/drawing/2014/main" id="{C0A62681-8D7E-AC33-0153-6C4CC336D687}"/>
            </a:ext>
          </a:extLst>
        </xdr:cNvPr>
        <xdr:cNvGrpSpPr/>
      </xdr:nvGrpSpPr>
      <xdr:grpSpPr>
        <a:xfrm>
          <a:off x="1782278" y="4256314"/>
          <a:ext cx="4129830" cy="2193935"/>
          <a:chOff x="1762646" y="4724759"/>
          <a:chExt cx="4197368" cy="2166493"/>
        </a:xfrm>
      </xdr:grpSpPr>
      <xdr:sp macro="" textlink="">
        <xdr:nvSpPr>
          <xdr:cNvPr id="51" name="Rectangle 50">
            <a:extLst>
              <a:ext uri="{FF2B5EF4-FFF2-40B4-BE49-F238E27FC236}">
                <a16:creationId xmlns:a16="http://schemas.microsoft.com/office/drawing/2014/main" id="{A0780A06-31A3-4928-BF47-4D975DA837DF}"/>
              </a:ext>
            </a:extLst>
          </xdr:cNvPr>
          <xdr:cNvSpPr/>
        </xdr:nvSpPr>
        <xdr:spPr>
          <a:xfrm>
            <a:off x="1762646" y="4724759"/>
            <a:ext cx="4197368" cy="2166493"/>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2" name="Chart 51">
            <a:extLst>
              <a:ext uri="{FF2B5EF4-FFF2-40B4-BE49-F238E27FC236}">
                <a16:creationId xmlns:a16="http://schemas.microsoft.com/office/drawing/2014/main" id="{C49EC3D1-56CC-47C5-95DD-FAE29C4B04E9}"/>
              </a:ext>
            </a:extLst>
          </xdr:cNvPr>
          <xdr:cNvGraphicFramePr>
            <a:graphicFrameLocks/>
          </xdr:cNvGraphicFramePr>
        </xdr:nvGraphicFramePr>
        <xdr:xfrm>
          <a:off x="1872958" y="4855850"/>
          <a:ext cx="4030546" cy="189896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173378</xdr:colOff>
      <xdr:row>10</xdr:row>
      <xdr:rowOff>123515</xdr:rowOff>
    </xdr:from>
    <xdr:to>
      <xdr:col>16</xdr:col>
      <xdr:colOff>93732</xdr:colOff>
      <xdr:row>22</xdr:row>
      <xdr:rowOff>100392</xdr:rowOff>
    </xdr:to>
    <xdr:sp macro="" textlink="">
      <xdr:nvSpPr>
        <xdr:cNvPr id="72" name="Rectangle 71">
          <a:extLst>
            <a:ext uri="{FF2B5EF4-FFF2-40B4-BE49-F238E27FC236}">
              <a16:creationId xmlns:a16="http://schemas.microsoft.com/office/drawing/2014/main" id="{AB3A49AB-90D8-871F-4027-809064D715BB}"/>
            </a:ext>
          </a:extLst>
        </xdr:cNvPr>
        <xdr:cNvSpPr/>
      </xdr:nvSpPr>
      <xdr:spPr>
        <a:xfrm>
          <a:off x="6049648" y="1937801"/>
          <a:ext cx="3548925" cy="2154020"/>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205658</xdr:colOff>
      <xdr:row>11</xdr:row>
      <xdr:rowOff>44779</xdr:rowOff>
    </xdr:from>
    <xdr:to>
      <xdr:col>16</xdr:col>
      <xdr:colOff>32280</xdr:colOff>
      <xdr:row>21</xdr:row>
      <xdr:rowOff>176446</xdr:rowOff>
    </xdr:to>
    <xdr:graphicFrame macro="">
      <xdr:nvGraphicFramePr>
        <xdr:cNvPr id="74" name="Chart 73">
          <a:extLst>
            <a:ext uri="{FF2B5EF4-FFF2-40B4-BE49-F238E27FC236}">
              <a16:creationId xmlns:a16="http://schemas.microsoft.com/office/drawing/2014/main" id="{064C3D7B-34CE-4509-B8D2-18B7A807D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145763</xdr:colOff>
      <xdr:row>6</xdr:row>
      <xdr:rowOff>47103</xdr:rowOff>
    </xdr:from>
    <xdr:to>
      <xdr:col>15</xdr:col>
      <xdr:colOff>259924</xdr:colOff>
      <xdr:row>9</xdr:row>
      <xdr:rowOff>165757</xdr:rowOff>
    </xdr:to>
    <xdr:grpSp>
      <xdr:nvGrpSpPr>
        <xdr:cNvPr id="75" name="Group 74">
          <a:extLst>
            <a:ext uri="{FF2B5EF4-FFF2-40B4-BE49-F238E27FC236}">
              <a16:creationId xmlns:a16="http://schemas.microsoft.com/office/drawing/2014/main" id="{A14B501E-D4C4-41D0-95EF-E6B9C7B17DB2}"/>
            </a:ext>
          </a:extLst>
        </xdr:cNvPr>
        <xdr:cNvGrpSpPr/>
      </xdr:nvGrpSpPr>
      <xdr:grpSpPr>
        <a:xfrm>
          <a:off x="7885506" y="1157446"/>
          <a:ext cx="1333361" cy="673825"/>
          <a:chOff x="6029847" y="1208454"/>
          <a:chExt cx="1723813" cy="778466"/>
        </a:xfrm>
      </xdr:grpSpPr>
      <xdr:grpSp>
        <xdr:nvGrpSpPr>
          <xdr:cNvPr id="76" name="Group 75">
            <a:extLst>
              <a:ext uri="{FF2B5EF4-FFF2-40B4-BE49-F238E27FC236}">
                <a16:creationId xmlns:a16="http://schemas.microsoft.com/office/drawing/2014/main" id="{EDF367AD-3104-2E4C-3DB1-526B89689419}"/>
              </a:ext>
            </a:extLst>
          </xdr:cNvPr>
          <xdr:cNvGrpSpPr/>
        </xdr:nvGrpSpPr>
        <xdr:grpSpPr>
          <a:xfrm>
            <a:off x="6029847" y="1208454"/>
            <a:ext cx="1717153" cy="778466"/>
            <a:chOff x="1932910" y="1228133"/>
            <a:chExt cx="1709617" cy="767581"/>
          </a:xfrm>
        </xdr:grpSpPr>
        <xdr:sp macro="" textlink="">
          <xdr:nvSpPr>
            <xdr:cNvPr id="79" name="Rectangle 78">
              <a:extLst>
                <a:ext uri="{FF2B5EF4-FFF2-40B4-BE49-F238E27FC236}">
                  <a16:creationId xmlns:a16="http://schemas.microsoft.com/office/drawing/2014/main" id="{F16A902E-EDAA-2917-B9A8-9F0BA2FF6B8B}"/>
                </a:ext>
              </a:extLst>
            </xdr:cNvPr>
            <xdr:cNvSpPr/>
          </xdr:nvSpPr>
          <xdr:spPr>
            <a:xfrm>
              <a:off x="1932910" y="1228133"/>
              <a:ext cx="1709617" cy="767581"/>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80" name="Rectangle 79">
              <a:extLst>
                <a:ext uri="{FF2B5EF4-FFF2-40B4-BE49-F238E27FC236}">
                  <a16:creationId xmlns:a16="http://schemas.microsoft.com/office/drawing/2014/main" id="{01BEB372-9D37-3A7E-44DE-E63152E4DE30}"/>
                </a:ext>
              </a:extLst>
            </xdr:cNvPr>
            <xdr:cNvSpPr/>
          </xdr:nvSpPr>
          <xdr:spPr>
            <a:xfrm>
              <a:off x="2085311" y="1359598"/>
              <a:ext cx="1557216" cy="600109"/>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grpSp>
      <xdr:sp macro="" textlink="">
        <xdr:nvSpPr>
          <xdr:cNvPr id="77" name="TextBox 76">
            <a:extLst>
              <a:ext uri="{FF2B5EF4-FFF2-40B4-BE49-F238E27FC236}">
                <a16:creationId xmlns:a16="http://schemas.microsoft.com/office/drawing/2014/main" id="{FED0CB19-D095-63FA-1BA8-B51122A8CB41}"/>
              </a:ext>
            </a:extLst>
          </xdr:cNvPr>
          <xdr:cNvSpPr txBox="1"/>
        </xdr:nvSpPr>
        <xdr:spPr>
          <a:xfrm>
            <a:off x="6183096" y="1350557"/>
            <a:ext cx="1563904" cy="27598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Cambria" panose="02040503050406030204" pitchFamily="18" charset="0"/>
                <a:ea typeface="Cambria" panose="02040503050406030204" pitchFamily="18" charset="0"/>
              </a:rPr>
              <a:t>Total Op Cost</a:t>
            </a:r>
          </a:p>
        </xdr:txBody>
      </xdr:sp>
      <xdr:sp macro="" textlink="Pivot!B89">
        <xdr:nvSpPr>
          <xdr:cNvPr id="78" name="TextBox 77">
            <a:extLst>
              <a:ext uri="{FF2B5EF4-FFF2-40B4-BE49-F238E27FC236}">
                <a16:creationId xmlns:a16="http://schemas.microsoft.com/office/drawing/2014/main" id="{5E2802A1-3C3F-0430-8DDC-65CC20DB4FB1}"/>
              </a:ext>
            </a:extLst>
          </xdr:cNvPr>
          <xdr:cNvSpPr txBox="1"/>
        </xdr:nvSpPr>
        <xdr:spPr>
          <a:xfrm>
            <a:off x="6187282" y="1593728"/>
            <a:ext cx="1566378" cy="278702"/>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D4A53F-D1D6-4DAF-B73E-69703148D316}" type="TxLink">
              <a:rPr lang="en-US" sz="1100" b="1" i="0" u="none" strike="noStrike">
                <a:solidFill>
                  <a:schemeClr val="bg1"/>
                </a:solidFill>
                <a:latin typeface="Calibri"/>
                <a:ea typeface="Calibri"/>
                <a:cs typeface="Calibri"/>
              </a:rPr>
              <a:pPr/>
              <a:t>$2,041.61</a:t>
            </a:fld>
            <a:endParaRPr lang="en-IN" sz="1000" b="1">
              <a:solidFill>
                <a:schemeClr val="bg1"/>
              </a:solidFill>
            </a:endParaRPr>
          </a:p>
        </xdr:txBody>
      </xdr:sp>
    </xdr:grpSp>
    <xdr:clientData/>
  </xdr:twoCellAnchor>
  <xdr:twoCellAnchor>
    <xdr:from>
      <xdr:col>0</xdr:col>
      <xdr:colOff>51588</xdr:colOff>
      <xdr:row>8</xdr:row>
      <xdr:rowOff>41169</xdr:rowOff>
    </xdr:from>
    <xdr:to>
      <xdr:col>3</xdr:col>
      <xdr:colOff>0</xdr:colOff>
      <xdr:row>10</xdr:row>
      <xdr:rowOff>145420</xdr:rowOff>
    </xdr:to>
    <xdr:sp macro="" textlink="">
      <xdr:nvSpPr>
        <xdr:cNvPr id="81" name="Rectangle 80">
          <a:extLst>
            <a:ext uri="{FF2B5EF4-FFF2-40B4-BE49-F238E27FC236}">
              <a16:creationId xmlns:a16="http://schemas.microsoft.com/office/drawing/2014/main" id="{1D04DEF9-39C1-868A-35CF-4DBD8E658CC4}"/>
            </a:ext>
          </a:extLst>
        </xdr:cNvPr>
        <xdr:cNvSpPr/>
      </xdr:nvSpPr>
      <xdr:spPr>
        <a:xfrm>
          <a:off x="51588" y="1501669"/>
          <a:ext cx="1599412" cy="469376"/>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19844</xdr:colOff>
      <xdr:row>8</xdr:row>
      <xdr:rowOff>70479</xdr:rowOff>
    </xdr:from>
    <xdr:to>
      <xdr:col>2</xdr:col>
      <xdr:colOff>817568</xdr:colOff>
      <xdr:row>10</xdr:row>
      <xdr:rowOff>133988</xdr:rowOff>
    </xdr:to>
    <xdr:sp macro="" textlink="">
      <xdr:nvSpPr>
        <xdr:cNvPr id="82" name="TextBox 81">
          <a:hlinkClick xmlns:r="http://schemas.openxmlformats.org/officeDocument/2006/relationships" r:id="rId6"/>
          <a:extLst>
            <a:ext uri="{FF2B5EF4-FFF2-40B4-BE49-F238E27FC236}">
              <a16:creationId xmlns:a16="http://schemas.microsoft.com/office/drawing/2014/main" id="{EC505A6A-E673-2DD8-8C75-1175027AD890}"/>
            </a:ext>
          </a:extLst>
        </xdr:cNvPr>
        <xdr:cNvSpPr txBox="1"/>
      </xdr:nvSpPr>
      <xdr:spPr>
        <a:xfrm>
          <a:off x="19844" y="1530979"/>
          <a:ext cx="1599412" cy="428634"/>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Data</a:t>
          </a:r>
        </a:p>
      </xdr:txBody>
    </xdr:sp>
    <xdr:clientData/>
  </xdr:twoCellAnchor>
  <xdr:twoCellAnchor>
    <xdr:from>
      <xdr:col>10</xdr:col>
      <xdr:colOff>156200</xdr:colOff>
      <xdr:row>22</xdr:row>
      <xdr:rowOff>158306</xdr:rowOff>
    </xdr:from>
    <xdr:to>
      <xdr:col>19</xdr:col>
      <xdr:colOff>596296</xdr:colOff>
      <xdr:row>35</xdr:row>
      <xdr:rowOff>107627</xdr:rowOff>
    </xdr:to>
    <xdr:grpSp>
      <xdr:nvGrpSpPr>
        <xdr:cNvPr id="84" name="Group 83">
          <a:extLst>
            <a:ext uri="{FF2B5EF4-FFF2-40B4-BE49-F238E27FC236}">
              <a16:creationId xmlns:a16="http://schemas.microsoft.com/office/drawing/2014/main" id="{CCA13202-5EC3-0258-FAAE-C910FCC78DAB}"/>
            </a:ext>
          </a:extLst>
        </xdr:cNvPr>
        <xdr:cNvGrpSpPr/>
      </xdr:nvGrpSpPr>
      <xdr:grpSpPr>
        <a:xfrm>
          <a:off x="6067143" y="4229563"/>
          <a:ext cx="5926496" cy="2355064"/>
          <a:chOff x="6117576" y="4258899"/>
          <a:chExt cx="5961367" cy="2327881"/>
        </a:xfrm>
      </xdr:grpSpPr>
      <xdr:sp macro="" textlink="">
        <xdr:nvSpPr>
          <xdr:cNvPr id="67" name="Rectangle 66">
            <a:extLst>
              <a:ext uri="{FF2B5EF4-FFF2-40B4-BE49-F238E27FC236}">
                <a16:creationId xmlns:a16="http://schemas.microsoft.com/office/drawing/2014/main" id="{48A22BB7-AA29-668D-AF6E-D612738C6F3D}"/>
              </a:ext>
            </a:extLst>
          </xdr:cNvPr>
          <xdr:cNvSpPr/>
        </xdr:nvSpPr>
        <xdr:spPr>
          <a:xfrm>
            <a:off x="6117576" y="4258899"/>
            <a:ext cx="5961367" cy="2327881"/>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3" name="Chart 82">
            <a:extLst>
              <a:ext uri="{FF2B5EF4-FFF2-40B4-BE49-F238E27FC236}">
                <a16:creationId xmlns:a16="http://schemas.microsoft.com/office/drawing/2014/main" id="{17750EEE-DCA8-40D9-B70E-62A0BA11C1DF}"/>
              </a:ext>
            </a:extLst>
          </xdr:cNvPr>
          <xdr:cNvGraphicFramePr>
            <a:graphicFrameLocks/>
          </xdr:cNvGraphicFramePr>
        </xdr:nvGraphicFramePr>
        <xdr:xfrm>
          <a:off x="6297091" y="4342369"/>
          <a:ext cx="5781852" cy="211212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165100</xdr:colOff>
      <xdr:row>23</xdr:row>
      <xdr:rowOff>0</xdr:rowOff>
    </xdr:from>
    <xdr:to>
      <xdr:col>5</xdr:col>
      <xdr:colOff>685800</xdr:colOff>
      <xdr:row>37</xdr:row>
      <xdr:rowOff>165100</xdr:rowOff>
    </xdr:to>
    <xdr:graphicFrame macro="">
      <xdr:nvGraphicFramePr>
        <xdr:cNvPr id="3" name="Chart 2">
          <a:extLst>
            <a:ext uri="{FF2B5EF4-FFF2-40B4-BE49-F238E27FC236}">
              <a16:creationId xmlns:a16="http://schemas.microsoft.com/office/drawing/2014/main" id="{B2C0A2E7-EF11-4381-90A1-39173CD8C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and%20Mohapatra\Downloads\Microsoft_Case_D2_D3_Final_Clean.xlsx" TargetMode="External"/><Relationship Id="rId1" Type="http://schemas.openxmlformats.org/officeDocument/2006/relationships/externalLinkPath" Target="/Users/Anand%20Mohapatra/Downloads/Microsoft_Case_D2_D3_Final_Cle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_Case"/>
      <sheetName val="Dataset"/>
      <sheetName val="Questions"/>
      <sheetName val="Pivot"/>
      <sheetName val="Dashboard"/>
      <sheetName val="Deliverable 2"/>
      <sheetName val="Deliverable 3"/>
    </sheetNames>
    <sheetDataSet>
      <sheetData sheetId="0"/>
      <sheetData sheetId="1">
        <row r="3">
          <cell r="C3" t="str">
            <v>North America</v>
          </cell>
          <cell r="F3" t="str">
            <v>Enterprise</v>
          </cell>
          <cell r="G3">
            <v>6285</v>
          </cell>
          <cell r="H3">
            <v>17.38</v>
          </cell>
          <cell r="I3">
            <v>10.09</v>
          </cell>
          <cell r="J3">
            <v>8.6</v>
          </cell>
        </row>
        <row r="4">
          <cell r="C4" t="str">
            <v>North America</v>
          </cell>
          <cell r="F4" t="str">
            <v>Enterprise</v>
          </cell>
          <cell r="G4">
            <v>5225</v>
          </cell>
          <cell r="H4">
            <v>10.210000000000001</v>
          </cell>
          <cell r="I4">
            <v>6.33</v>
          </cell>
          <cell r="J4">
            <v>8.1</v>
          </cell>
        </row>
        <row r="5">
          <cell r="C5" t="str">
            <v>North America</v>
          </cell>
          <cell r="F5" t="str">
            <v>SMB</v>
          </cell>
          <cell r="G5">
            <v>2627</v>
          </cell>
          <cell r="H5">
            <v>16.59</v>
          </cell>
          <cell r="I5">
            <v>8.33</v>
          </cell>
          <cell r="J5">
            <v>8.8000000000000007</v>
          </cell>
        </row>
        <row r="6">
          <cell r="C6" t="str">
            <v>North America</v>
          </cell>
          <cell r="F6" t="str">
            <v>SMB</v>
          </cell>
          <cell r="G6">
            <v>3468</v>
          </cell>
          <cell r="H6">
            <v>14.3</v>
          </cell>
          <cell r="I6">
            <v>8.59</v>
          </cell>
          <cell r="J6">
            <v>6.3</v>
          </cell>
        </row>
        <row r="7">
          <cell r="C7" t="str">
            <v>North America</v>
          </cell>
          <cell r="F7" t="str">
            <v>SMB</v>
          </cell>
          <cell r="G7">
            <v>5318</v>
          </cell>
          <cell r="H7">
            <v>11.76</v>
          </cell>
          <cell r="I7">
            <v>8.36</v>
          </cell>
          <cell r="J7">
            <v>9.4</v>
          </cell>
        </row>
        <row r="8">
          <cell r="C8" t="str">
            <v>North America</v>
          </cell>
          <cell r="F8" t="str">
            <v>SMB</v>
          </cell>
          <cell r="G8">
            <v>1633</v>
          </cell>
          <cell r="H8">
            <v>1.82</v>
          </cell>
          <cell r="I8">
            <v>1.48</v>
          </cell>
          <cell r="J8">
            <v>7.3</v>
          </cell>
        </row>
        <row r="9">
          <cell r="C9" t="str">
            <v>Europe</v>
          </cell>
          <cell r="F9" t="str">
            <v>Enterprise</v>
          </cell>
          <cell r="G9">
            <v>4662</v>
          </cell>
          <cell r="H9">
            <v>26.04</v>
          </cell>
          <cell r="I9">
            <v>21</v>
          </cell>
          <cell r="J9">
            <v>9</v>
          </cell>
        </row>
        <row r="10">
          <cell r="C10" t="str">
            <v>Europe</v>
          </cell>
          <cell r="F10" t="str">
            <v>SMB</v>
          </cell>
          <cell r="G10">
            <v>2470</v>
          </cell>
          <cell r="H10">
            <v>10.92</v>
          </cell>
          <cell r="I10">
            <v>7.22</v>
          </cell>
          <cell r="J10">
            <v>6.7</v>
          </cell>
        </row>
        <row r="11">
          <cell r="C11" t="str">
            <v>Europe</v>
          </cell>
          <cell r="F11" t="str">
            <v>Enterprise</v>
          </cell>
          <cell r="G11">
            <v>3935</v>
          </cell>
          <cell r="H11">
            <v>16.5</v>
          </cell>
          <cell r="I11">
            <v>9.59</v>
          </cell>
          <cell r="J11">
            <v>9.1999999999999993</v>
          </cell>
        </row>
        <row r="12">
          <cell r="C12" t="str">
            <v>Europe</v>
          </cell>
          <cell r="F12" t="str">
            <v>Enterprise</v>
          </cell>
          <cell r="G12">
            <v>4795</v>
          </cell>
          <cell r="H12">
            <v>36.5</v>
          </cell>
          <cell r="I12">
            <v>20.76</v>
          </cell>
          <cell r="J12">
            <v>6.1</v>
          </cell>
        </row>
        <row r="13">
          <cell r="C13" t="str">
            <v>Europe</v>
          </cell>
          <cell r="F13" t="str">
            <v>SMB</v>
          </cell>
          <cell r="G13">
            <v>1258</v>
          </cell>
          <cell r="H13">
            <v>-2.97</v>
          </cell>
          <cell r="I13">
            <v>2.27</v>
          </cell>
          <cell r="J13">
            <v>6.7</v>
          </cell>
        </row>
        <row r="14">
          <cell r="C14" t="str">
            <v>Europe</v>
          </cell>
          <cell r="F14" t="str">
            <v>SMB</v>
          </cell>
          <cell r="H14">
            <v>7.26</v>
          </cell>
          <cell r="I14">
            <v>4.57</v>
          </cell>
          <cell r="J14">
            <v>6.9</v>
          </cell>
        </row>
        <row r="15">
          <cell r="C15" t="str">
            <v>Asia Pacific</v>
          </cell>
          <cell r="F15" t="str">
            <v>SMB</v>
          </cell>
          <cell r="G15">
            <v>5468</v>
          </cell>
          <cell r="H15">
            <v>18.57</v>
          </cell>
          <cell r="I15">
            <v>15.77</v>
          </cell>
          <cell r="J15">
            <v>7.8</v>
          </cell>
        </row>
        <row r="16">
          <cell r="C16" t="str">
            <v>Asia Pacific</v>
          </cell>
          <cell r="F16" t="str">
            <v>Enterprise</v>
          </cell>
          <cell r="G16">
            <v>4730</v>
          </cell>
          <cell r="H16">
            <v>23.96</v>
          </cell>
          <cell r="J16">
            <v>8.4</v>
          </cell>
        </row>
        <row r="17">
          <cell r="C17" t="str">
            <v>Asia Pacific</v>
          </cell>
          <cell r="F17" t="str">
            <v>SMB</v>
          </cell>
          <cell r="G17">
            <v>2784</v>
          </cell>
          <cell r="H17">
            <v>22.35</v>
          </cell>
          <cell r="I17">
            <v>17.690000000000001</v>
          </cell>
          <cell r="J17">
            <v>9</v>
          </cell>
        </row>
        <row r="18">
          <cell r="C18" t="str">
            <v>Asia Pacific</v>
          </cell>
          <cell r="F18" t="str">
            <v>Enterprise</v>
          </cell>
          <cell r="G18">
            <v>4337</v>
          </cell>
          <cell r="H18">
            <v>16.690000000000001</v>
          </cell>
          <cell r="I18">
            <v>12.1</v>
          </cell>
          <cell r="J18">
            <v>8.6999999999999993</v>
          </cell>
        </row>
        <row r="19">
          <cell r="C19" t="str">
            <v>Asia Pacific</v>
          </cell>
          <cell r="F19" t="str">
            <v>SMB</v>
          </cell>
          <cell r="G19">
            <v>3060</v>
          </cell>
          <cell r="H19">
            <v>4.7</v>
          </cell>
          <cell r="I19">
            <v>3.82</v>
          </cell>
          <cell r="J19">
            <v>6.9</v>
          </cell>
        </row>
        <row r="20">
          <cell r="C20" t="str">
            <v>Asia Pacific</v>
          </cell>
          <cell r="F20" t="str">
            <v>Consumer</v>
          </cell>
          <cell r="G20">
            <v>3439</v>
          </cell>
          <cell r="H20">
            <v>2.5099999999999998</v>
          </cell>
          <cell r="I20">
            <v>2.0099999999999998</v>
          </cell>
          <cell r="J20">
            <v>7.8</v>
          </cell>
        </row>
        <row r="21">
          <cell r="C21" t="str">
            <v>Latin America</v>
          </cell>
          <cell r="F21" t="str">
            <v>SMB</v>
          </cell>
          <cell r="G21">
            <v>3097</v>
          </cell>
          <cell r="H21">
            <v>13.59</v>
          </cell>
          <cell r="I21">
            <v>9.64</v>
          </cell>
          <cell r="J21">
            <v>6</v>
          </cell>
        </row>
        <row r="22">
          <cell r="C22" t="str">
            <v>Latin America</v>
          </cell>
          <cell r="F22" t="str">
            <v>SMB</v>
          </cell>
          <cell r="G22">
            <v>2171</v>
          </cell>
          <cell r="H22">
            <v>5.17</v>
          </cell>
          <cell r="I22">
            <v>4.37</v>
          </cell>
          <cell r="J22">
            <v>8.8000000000000007</v>
          </cell>
        </row>
        <row r="23">
          <cell r="C23" t="str">
            <v>Latin America</v>
          </cell>
          <cell r="F23" t="str">
            <v>Enterprise</v>
          </cell>
          <cell r="G23">
            <v>3487</v>
          </cell>
          <cell r="H23">
            <v>24.74</v>
          </cell>
          <cell r="I23">
            <v>15.98</v>
          </cell>
          <cell r="J23">
            <v>6.2</v>
          </cell>
        </row>
        <row r="24">
          <cell r="C24" t="str">
            <v>Latin America</v>
          </cell>
          <cell r="F24" t="str">
            <v>Enterprise</v>
          </cell>
          <cell r="G24">
            <v>953</v>
          </cell>
          <cell r="H24">
            <v>5.17</v>
          </cell>
          <cell r="I24">
            <v>3</v>
          </cell>
          <cell r="J24">
            <v>9.1</v>
          </cell>
        </row>
        <row r="25">
          <cell r="C25" t="str">
            <v>Latin America</v>
          </cell>
          <cell r="F25" t="str">
            <v>Consumer</v>
          </cell>
          <cell r="G25">
            <v>2929</v>
          </cell>
          <cell r="H25">
            <v>3.93</v>
          </cell>
          <cell r="I25">
            <v>2.6</v>
          </cell>
          <cell r="J25">
            <v>9.1</v>
          </cell>
        </row>
        <row r="26">
          <cell r="C26" t="str">
            <v>Latin America</v>
          </cell>
          <cell r="F26" t="str">
            <v>SMB</v>
          </cell>
          <cell r="G26">
            <v>928</v>
          </cell>
          <cell r="H26">
            <v>0.85</v>
          </cell>
          <cell r="I26">
            <v>0.62</v>
          </cell>
          <cell r="J26">
            <v>6.8</v>
          </cell>
        </row>
        <row r="27">
          <cell r="C27" t="str">
            <v>Middle East &amp; Africa</v>
          </cell>
          <cell r="F27" t="str">
            <v>Enterprise</v>
          </cell>
          <cell r="G27">
            <v>2464</v>
          </cell>
          <cell r="H27">
            <v>5.03</v>
          </cell>
          <cell r="I27">
            <v>2.81</v>
          </cell>
          <cell r="J27">
            <v>6.8</v>
          </cell>
        </row>
        <row r="28">
          <cell r="C28" t="str">
            <v>Middle East &amp; Africa</v>
          </cell>
          <cell r="F28" t="str">
            <v>Enterprise</v>
          </cell>
          <cell r="G28">
            <v>1236</v>
          </cell>
          <cell r="H28">
            <v>4.91</v>
          </cell>
          <cell r="I28">
            <v>3.77</v>
          </cell>
          <cell r="J28">
            <v>8.6999999999999993</v>
          </cell>
        </row>
        <row r="29">
          <cell r="C29" t="str">
            <v>Middle East &amp; Africa</v>
          </cell>
          <cell r="F29" t="str">
            <v>Enterprise</v>
          </cell>
          <cell r="G29">
            <v>2684</v>
          </cell>
          <cell r="H29">
            <v>17.72</v>
          </cell>
          <cell r="I29">
            <v>9.3800000000000008</v>
          </cell>
          <cell r="J29">
            <v>7.1</v>
          </cell>
        </row>
        <row r="30">
          <cell r="C30" t="str">
            <v>Middle East &amp; Africa</v>
          </cell>
          <cell r="F30" t="str">
            <v>SMB</v>
          </cell>
          <cell r="G30">
            <v>1615</v>
          </cell>
          <cell r="H30">
            <v>10.77</v>
          </cell>
          <cell r="I30">
            <v>-7.5</v>
          </cell>
          <cell r="J30">
            <v>7.9</v>
          </cell>
        </row>
        <row r="31">
          <cell r="C31" t="str">
            <v>Middle East &amp; Africa</v>
          </cell>
          <cell r="F31" t="str">
            <v>SMB</v>
          </cell>
          <cell r="G31">
            <v>2729</v>
          </cell>
          <cell r="H31">
            <v>1.84</v>
          </cell>
          <cell r="I31">
            <v>1.31</v>
          </cell>
          <cell r="J31">
            <v>6.1</v>
          </cell>
        </row>
        <row r="32">
          <cell r="C32" t="str">
            <v>Middle East &amp; Africa</v>
          </cell>
          <cell r="F32" t="str">
            <v>Consumer</v>
          </cell>
          <cell r="G32">
            <v>1236</v>
          </cell>
          <cell r="H32">
            <v>1.34</v>
          </cell>
          <cell r="I32">
            <v>0.92</v>
          </cell>
          <cell r="J32">
            <v>8.6</v>
          </cell>
        </row>
        <row r="33">
          <cell r="C33" t="str">
            <v>North America</v>
          </cell>
          <cell r="F33" t="str">
            <v>Enterprise</v>
          </cell>
          <cell r="G33">
            <v>5856</v>
          </cell>
          <cell r="H33">
            <v>22.01</v>
          </cell>
          <cell r="I33">
            <v>12.72</v>
          </cell>
          <cell r="J33">
            <v>8.6</v>
          </cell>
        </row>
        <row r="34">
          <cell r="C34" t="str">
            <v>North America</v>
          </cell>
          <cell r="F34" t="str">
            <v>Enterprise</v>
          </cell>
          <cell r="G34">
            <v>2326</v>
          </cell>
          <cell r="H34">
            <v>8.65</v>
          </cell>
          <cell r="I34">
            <v>5.8</v>
          </cell>
          <cell r="J34">
            <v>6.2</v>
          </cell>
        </row>
        <row r="35">
          <cell r="C35" t="str">
            <v>North America</v>
          </cell>
          <cell r="F35" t="str">
            <v>SMB</v>
          </cell>
          <cell r="G35">
            <v>3044</v>
          </cell>
          <cell r="H35">
            <v>20.88</v>
          </cell>
          <cell r="I35">
            <v>13.09</v>
          </cell>
          <cell r="J35">
            <v>9.4</v>
          </cell>
        </row>
        <row r="36">
          <cell r="C36" t="str">
            <v>North America</v>
          </cell>
          <cell r="F36" t="str">
            <v>SMB</v>
          </cell>
          <cell r="G36">
            <v>2242</v>
          </cell>
          <cell r="H36">
            <v>10.99</v>
          </cell>
          <cell r="I36">
            <v>7.4</v>
          </cell>
          <cell r="J36">
            <v>7.9</v>
          </cell>
        </row>
        <row r="37">
          <cell r="C37" t="str">
            <v>North America</v>
          </cell>
          <cell r="F37" t="str">
            <v>Consumer</v>
          </cell>
          <cell r="G37">
            <v>1482</v>
          </cell>
          <cell r="H37">
            <v>2.33</v>
          </cell>
          <cell r="I37">
            <v>1.65</v>
          </cell>
          <cell r="J37">
            <v>6.2</v>
          </cell>
        </row>
        <row r="38">
          <cell r="C38" t="str">
            <v>North America</v>
          </cell>
          <cell r="F38" t="str">
            <v>Consumer</v>
          </cell>
          <cell r="G38">
            <v>7303</v>
          </cell>
          <cell r="I38">
            <v>3.44</v>
          </cell>
          <cell r="J38">
            <v>7.4</v>
          </cell>
        </row>
        <row r="39">
          <cell r="C39" t="str">
            <v>Europe</v>
          </cell>
          <cell r="F39" t="str">
            <v>Enterprise</v>
          </cell>
          <cell r="G39">
            <v>4577</v>
          </cell>
          <cell r="H39">
            <v>17.11</v>
          </cell>
          <cell r="I39">
            <v>12.09</v>
          </cell>
          <cell r="J39">
            <v>9.3000000000000007</v>
          </cell>
        </row>
        <row r="40">
          <cell r="C40" t="str">
            <v>Europe</v>
          </cell>
          <cell r="F40" t="str">
            <v>Enterprise</v>
          </cell>
          <cell r="G40">
            <v>4875</v>
          </cell>
          <cell r="H40">
            <v>15.13</v>
          </cell>
          <cell r="I40">
            <v>8.92</v>
          </cell>
          <cell r="J40">
            <v>8.3000000000000007</v>
          </cell>
        </row>
        <row r="41">
          <cell r="C41" t="str">
            <v>Europe</v>
          </cell>
          <cell r="F41" t="str">
            <v>SMB</v>
          </cell>
          <cell r="G41">
            <v>1694</v>
          </cell>
          <cell r="H41">
            <v>7.34</v>
          </cell>
          <cell r="I41">
            <v>4.21</v>
          </cell>
          <cell r="J41">
            <v>7</v>
          </cell>
        </row>
        <row r="42">
          <cell r="C42" t="str">
            <v>Europe</v>
          </cell>
          <cell r="F42" t="str">
            <v>Consumer</v>
          </cell>
          <cell r="G42">
            <v>4864</v>
          </cell>
          <cell r="H42">
            <v>8.5</v>
          </cell>
          <cell r="I42">
            <v>4.9400000000000004</v>
          </cell>
          <cell r="J42">
            <v>9.1</v>
          </cell>
        </row>
        <row r="43">
          <cell r="C43" t="str">
            <v>Europe</v>
          </cell>
          <cell r="F43" t="str">
            <v>SMB</v>
          </cell>
          <cell r="G43">
            <v>1594</v>
          </cell>
          <cell r="H43">
            <v>1.1499999999999999</v>
          </cell>
          <cell r="I43">
            <v>0.73</v>
          </cell>
          <cell r="J43">
            <v>8.1</v>
          </cell>
        </row>
        <row r="44">
          <cell r="C44" t="str">
            <v>Asia Pacific</v>
          </cell>
          <cell r="F44" t="str">
            <v>Enterprise</v>
          </cell>
          <cell r="G44">
            <v>4528</v>
          </cell>
          <cell r="H44">
            <v>24.53</v>
          </cell>
          <cell r="I44">
            <v>15.34</v>
          </cell>
          <cell r="J44">
            <v>9.1999999999999993</v>
          </cell>
        </row>
        <row r="45">
          <cell r="C45" t="str">
            <v>Asia Pacific</v>
          </cell>
          <cell r="F45" t="str">
            <v>Enterprise</v>
          </cell>
          <cell r="G45">
            <v>1324</v>
          </cell>
          <cell r="H45">
            <v>4.67</v>
          </cell>
          <cell r="I45">
            <v>2.57</v>
          </cell>
          <cell r="J45">
            <v>8.6999999999999993</v>
          </cell>
        </row>
        <row r="46">
          <cell r="C46" t="str">
            <v>Asia Pacific</v>
          </cell>
          <cell r="F46" t="str">
            <v>Enterprise</v>
          </cell>
          <cell r="G46">
            <v>4817</v>
          </cell>
          <cell r="H46">
            <v>27.34</v>
          </cell>
          <cell r="I46">
            <v>13.75</v>
          </cell>
          <cell r="J46">
            <v>6.3</v>
          </cell>
        </row>
        <row r="47">
          <cell r="C47" t="str">
            <v>Asia Pacific</v>
          </cell>
          <cell r="F47" t="str">
            <v>Enterprise</v>
          </cell>
          <cell r="G47">
            <v>3764</v>
          </cell>
          <cell r="H47">
            <v>27.44</v>
          </cell>
          <cell r="I47">
            <v>14.94</v>
          </cell>
          <cell r="J47">
            <v>6.4</v>
          </cell>
        </row>
        <row r="48">
          <cell r="C48" t="str">
            <v>Asia Pacific</v>
          </cell>
          <cell r="F48" t="str">
            <v>Consumer</v>
          </cell>
          <cell r="G48">
            <v>5666</v>
          </cell>
          <cell r="H48">
            <v>4.95</v>
          </cell>
          <cell r="I48">
            <v>2.88</v>
          </cell>
          <cell r="J48">
            <v>8.6999999999999993</v>
          </cell>
        </row>
        <row r="49">
          <cell r="C49" t="str">
            <v>Asia Pacific</v>
          </cell>
          <cell r="F49" t="str">
            <v>SMB</v>
          </cell>
          <cell r="G49">
            <v>6069</v>
          </cell>
          <cell r="H49">
            <v>13.16</v>
          </cell>
          <cell r="I49">
            <v>8.17</v>
          </cell>
          <cell r="J49">
            <v>6.6</v>
          </cell>
        </row>
        <row r="50">
          <cell r="C50" t="str">
            <v>Latin America</v>
          </cell>
          <cell r="F50" t="str">
            <v>Enterprise</v>
          </cell>
          <cell r="G50">
            <v>1165</v>
          </cell>
          <cell r="H50">
            <v>7.01</v>
          </cell>
          <cell r="I50">
            <v>4.72</v>
          </cell>
          <cell r="J50">
            <v>8.3000000000000007</v>
          </cell>
        </row>
        <row r="51">
          <cell r="C51" t="str">
            <v>Latin America</v>
          </cell>
          <cell r="F51" t="str">
            <v>Enterprise</v>
          </cell>
          <cell r="G51">
            <v>1471</v>
          </cell>
          <cell r="H51">
            <v>6.98</v>
          </cell>
          <cell r="I51">
            <v>5.67</v>
          </cell>
          <cell r="J51">
            <v>9</v>
          </cell>
        </row>
        <row r="52">
          <cell r="C52" t="str">
            <v>Latin America</v>
          </cell>
          <cell r="F52" t="str">
            <v>SMB</v>
          </cell>
          <cell r="G52">
            <v>1761</v>
          </cell>
          <cell r="H52">
            <v>13.44</v>
          </cell>
          <cell r="I52">
            <v>7.62</v>
          </cell>
          <cell r="J52">
            <v>8.3000000000000007</v>
          </cell>
        </row>
        <row r="53">
          <cell r="C53" t="str">
            <v>Latin America</v>
          </cell>
          <cell r="F53" t="str">
            <v>SMB</v>
          </cell>
          <cell r="G53">
            <v>1686</v>
          </cell>
          <cell r="H53">
            <v>13.5</v>
          </cell>
          <cell r="I53">
            <v>-7.88</v>
          </cell>
          <cell r="J53">
            <v>8.1999999999999993</v>
          </cell>
        </row>
        <row r="54">
          <cell r="C54" t="str">
            <v>Latin America</v>
          </cell>
          <cell r="F54" t="str">
            <v>Consumer</v>
          </cell>
          <cell r="G54">
            <v>941</v>
          </cell>
          <cell r="H54">
            <v>2.15</v>
          </cell>
          <cell r="I54">
            <v>1.8</v>
          </cell>
          <cell r="J54">
            <v>6.9</v>
          </cell>
        </row>
        <row r="55">
          <cell r="C55" t="str">
            <v>Latin America</v>
          </cell>
          <cell r="F55" t="str">
            <v>Consumer</v>
          </cell>
          <cell r="G55">
            <v>2625</v>
          </cell>
          <cell r="H55">
            <v>3.31</v>
          </cell>
          <cell r="I55">
            <v>2.25</v>
          </cell>
          <cell r="J55">
            <v>9.4</v>
          </cell>
        </row>
        <row r="56">
          <cell r="C56" t="str">
            <v>Middle East &amp; Africa</v>
          </cell>
          <cell r="F56" t="str">
            <v>Enterprise</v>
          </cell>
          <cell r="G56">
            <v>1209</v>
          </cell>
          <cell r="H56">
            <v>5.26</v>
          </cell>
          <cell r="I56">
            <v>4.3499999999999996</v>
          </cell>
          <cell r="J56">
            <v>7.5</v>
          </cell>
        </row>
        <row r="57">
          <cell r="C57" t="str">
            <v>Middle East &amp; Africa</v>
          </cell>
          <cell r="F57" t="str">
            <v>Enterprise</v>
          </cell>
          <cell r="G57">
            <v>1533</v>
          </cell>
          <cell r="H57">
            <v>3.61</v>
          </cell>
          <cell r="I57">
            <v>2.34</v>
          </cell>
          <cell r="J57">
            <v>6.7</v>
          </cell>
        </row>
        <row r="58">
          <cell r="C58" t="str">
            <v>Middle East &amp; Africa</v>
          </cell>
          <cell r="F58" t="str">
            <v>SMB</v>
          </cell>
          <cell r="G58">
            <v>2429</v>
          </cell>
          <cell r="H58">
            <v>11.69</v>
          </cell>
          <cell r="I58">
            <v>7.79</v>
          </cell>
          <cell r="J58">
            <v>6.3</v>
          </cell>
        </row>
        <row r="59">
          <cell r="C59" t="str">
            <v>Middle East &amp; Africa</v>
          </cell>
          <cell r="F59" t="str">
            <v>SMB</v>
          </cell>
          <cell r="G59">
            <v>2460</v>
          </cell>
          <cell r="H59">
            <v>18.91</v>
          </cell>
          <cell r="I59">
            <v>11.16</v>
          </cell>
          <cell r="J59">
            <v>7.5</v>
          </cell>
        </row>
        <row r="60">
          <cell r="C60" t="str">
            <v>Middle East &amp; Africa</v>
          </cell>
          <cell r="F60" t="str">
            <v>SMB</v>
          </cell>
          <cell r="G60">
            <v>1077</v>
          </cell>
          <cell r="H60">
            <v>2.2799999999999998</v>
          </cell>
          <cell r="I60">
            <v>1.47</v>
          </cell>
          <cell r="J60">
            <v>7.1</v>
          </cell>
        </row>
        <row r="61">
          <cell r="C61" t="str">
            <v>Middle East &amp; Africa</v>
          </cell>
          <cell r="F61" t="str">
            <v>Consumer</v>
          </cell>
          <cell r="G61">
            <v>1968</v>
          </cell>
          <cell r="H61">
            <v>4.49</v>
          </cell>
          <cell r="I61">
            <v>3.46</v>
          </cell>
          <cell r="J61">
            <v>7.9</v>
          </cell>
        </row>
        <row r="62">
          <cell r="C62" t="str">
            <v>North America</v>
          </cell>
          <cell r="F62" t="str">
            <v>Enterprise</v>
          </cell>
          <cell r="G62">
            <v>7303</v>
          </cell>
          <cell r="H62">
            <v>37.81</v>
          </cell>
          <cell r="I62">
            <v>23.34</v>
          </cell>
          <cell r="J62">
            <v>6.7</v>
          </cell>
        </row>
        <row r="63">
          <cell r="C63" t="str">
            <v>North America</v>
          </cell>
          <cell r="F63" t="str">
            <v>Enterprise</v>
          </cell>
          <cell r="G63">
            <v>1502</v>
          </cell>
          <cell r="H63">
            <v>9.11</v>
          </cell>
          <cell r="I63">
            <v>7.11</v>
          </cell>
          <cell r="J63">
            <v>7.6</v>
          </cell>
        </row>
        <row r="64">
          <cell r="C64" t="str">
            <v>North America</v>
          </cell>
          <cell r="F64" t="str">
            <v>SMB</v>
          </cell>
          <cell r="G64">
            <v>4869</v>
          </cell>
          <cell r="H64">
            <v>21.19</v>
          </cell>
          <cell r="I64">
            <v>10.63</v>
          </cell>
          <cell r="J64">
            <v>8.6</v>
          </cell>
        </row>
        <row r="65">
          <cell r="C65" t="str">
            <v>North America</v>
          </cell>
          <cell r="F65" t="str">
            <v>Enterprise</v>
          </cell>
          <cell r="G65">
            <v>7002</v>
          </cell>
          <cell r="H65">
            <v>30.41</v>
          </cell>
          <cell r="I65">
            <v>21.55</v>
          </cell>
          <cell r="J65">
            <v>7.6</v>
          </cell>
        </row>
        <row r="66">
          <cell r="C66" t="str">
            <v>North America</v>
          </cell>
          <cell r="F66" t="str">
            <v>Consumer</v>
          </cell>
          <cell r="G66">
            <v>4584</v>
          </cell>
          <cell r="H66">
            <v>9.9600000000000009</v>
          </cell>
          <cell r="I66">
            <v>8.43</v>
          </cell>
          <cell r="J66">
            <v>8.1</v>
          </cell>
        </row>
        <row r="67">
          <cell r="C67" t="str">
            <v>North America</v>
          </cell>
          <cell r="F67" t="str">
            <v>SMB</v>
          </cell>
          <cell r="G67">
            <v>5757</v>
          </cell>
          <cell r="H67">
            <v>11.17</v>
          </cell>
          <cell r="I67">
            <v>8.93</v>
          </cell>
          <cell r="J67">
            <v>7.9</v>
          </cell>
        </row>
        <row r="68">
          <cell r="C68" t="str">
            <v>Europe</v>
          </cell>
          <cell r="F68" t="str">
            <v>SMB</v>
          </cell>
          <cell r="G68">
            <v>2527</v>
          </cell>
          <cell r="H68">
            <v>7.76</v>
          </cell>
          <cell r="I68">
            <v>6.05</v>
          </cell>
          <cell r="J68">
            <v>7.8</v>
          </cell>
        </row>
        <row r="69">
          <cell r="C69" t="str">
            <v>Europe</v>
          </cell>
          <cell r="F69" t="str">
            <v>Enterprise</v>
          </cell>
          <cell r="G69">
            <v>2622</v>
          </cell>
          <cell r="H69">
            <v>5.8</v>
          </cell>
          <cell r="I69">
            <v>3.66</v>
          </cell>
          <cell r="J69">
            <v>7.1</v>
          </cell>
        </row>
        <row r="70">
          <cell r="C70" t="str">
            <v>Europe</v>
          </cell>
          <cell r="F70" t="str">
            <v>Enterprise</v>
          </cell>
          <cell r="G70">
            <v>1864</v>
          </cell>
          <cell r="H70">
            <v>8.5299999999999994</v>
          </cell>
          <cell r="I70">
            <v>4.8099999999999996</v>
          </cell>
          <cell r="J70">
            <v>7.5</v>
          </cell>
        </row>
        <row r="71">
          <cell r="C71" t="str">
            <v>Europe</v>
          </cell>
          <cell r="F71" t="str">
            <v>SMB</v>
          </cell>
          <cell r="G71">
            <v>4262</v>
          </cell>
          <cell r="H71">
            <v>20.38</v>
          </cell>
          <cell r="I71">
            <v>12.76</v>
          </cell>
          <cell r="J71">
            <v>9.1999999999999993</v>
          </cell>
        </row>
        <row r="72">
          <cell r="C72" t="str">
            <v>Europe</v>
          </cell>
          <cell r="F72" t="str">
            <v>SMB</v>
          </cell>
          <cell r="G72">
            <v>3860</v>
          </cell>
          <cell r="H72">
            <v>8.84</v>
          </cell>
          <cell r="I72">
            <v>5.9</v>
          </cell>
          <cell r="J72">
            <v>9.1</v>
          </cell>
        </row>
        <row r="73">
          <cell r="C73" t="str">
            <v>Europe</v>
          </cell>
          <cell r="F73" t="str">
            <v>SMB</v>
          </cell>
          <cell r="G73">
            <v>4235</v>
          </cell>
          <cell r="H73">
            <v>8.84</v>
          </cell>
          <cell r="I73">
            <v>7.24</v>
          </cell>
          <cell r="J73">
            <v>7.7</v>
          </cell>
        </row>
        <row r="74">
          <cell r="C74" t="str">
            <v>Asia Pacific</v>
          </cell>
          <cell r="F74" t="str">
            <v>SMB</v>
          </cell>
          <cell r="G74">
            <v>1017</v>
          </cell>
          <cell r="H74">
            <v>3.52</v>
          </cell>
          <cell r="I74">
            <v>2.36</v>
          </cell>
          <cell r="J74">
            <v>6.6</v>
          </cell>
        </row>
        <row r="75">
          <cell r="C75" t="str">
            <v>Asia Pacific</v>
          </cell>
          <cell r="F75" t="str">
            <v>SMB</v>
          </cell>
          <cell r="G75">
            <v>5972</v>
          </cell>
          <cell r="H75">
            <v>35.61</v>
          </cell>
          <cell r="I75">
            <v>29.27</v>
          </cell>
          <cell r="J75">
            <v>8.1</v>
          </cell>
        </row>
        <row r="76">
          <cell r="C76" t="str">
            <v>Asia Pacific</v>
          </cell>
          <cell r="F76" t="str">
            <v>Enterprise</v>
          </cell>
          <cell r="G76">
            <v>4432</v>
          </cell>
          <cell r="H76">
            <v>16.18</v>
          </cell>
          <cell r="I76">
            <v>8.33</v>
          </cell>
          <cell r="J76">
            <v>7.3</v>
          </cell>
        </row>
        <row r="77">
          <cell r="C77" t="str">
            <v>Asia Pacific</v>
          </cell>
          <cell r="F77" t="str">
            <v>Enterprise</v>
          </cell>
          <cell r="G77">
            <v>3385</v>
          </cell>
          <cell r="H77">
            <v>17.07</v>
          </cell>
          <cell r="I77">
            <v>9.9600000000000009</v>
          </cell>
          <cell r="J77">
            <v>9.3000000000000007</v>
          </cell>
        </row>
        <row r="78">
          <cell r="C78" t="str">
            <v>Asia Pacific</v>
          </cell>
          <cell r="F78" t="str">
            <v>Consumer</v>
          </cell>
          <cell r="G78">
            <v>3472</v>
          </cell>
          <cell r="H78">
            <v>6.32</v>
          </cell>
          <cell r="I78">
            <v>5.28</v>
          </cell>
          <cell r="J78">
            <v>6.8</v>
          </cell>
        </row>
        <row r="79">
          <cell r="C79" t="str">
            <v>Asia Pacific</v>
          </cell>
          <cell r="F79" t="str">
            <v>Consumer</v>
          </cell>
          <cell r="G79">
            <v>5202</v>
          </cell>
          <cell r="H79">
            <v>9.86</v>
          </cell>
          <cell r="I79">
            <v>8.23</v>
          </cell>
          <cell r="J79">
            <v>6.7</v>
          </cell>
        </row>
        <row r="80">
          <cell r="C80" t="str">
            <v>Latin America</v>
          </cell>
          <cell r="F80" t="str">
            <v>Enterprise</v>
          </cell>
          <cell r="G80">
            <v>1012</v>
          </cell>
          <cell r="H80">
            <v>4.79</v>
          </cell>
          <cell r="I80">
            <v>2.95</v>
          </cell>
          <cell r="J80">
            <v>8.4</v>
          </cell>
        </row>
        <row r="81">
          <cell r="C81" t="str">
            <v>Latin America</v>
          </cell>
          <cell r="F81" t="str">
            <v>SMB</v>
          </cell>
          <cell r="G81">
            <v>1163</v>
          </cell>
          <cell r="H81">
            <v>5.41</v>
          </cell>
          <cell r="I81">
            <v>3.16</v>
          </cell>
          <cell r="J81">
            <v>8.9</v>
          </cell>
        </row>
        <row r="82">
          <cell r="C82" t="str">
            <v>Latin America</v>
          </cell>
          <cell r="F82" t="str">
            <v>Enterprise</v>
          </cell>
          <cell r="G82">
            <v>3915</v>
          </cell>
          <cell r="H82">
            <v>24.89</v>
          </cell>
          <cell r="I82">
            <v>15.25</v>
          </cell>
          <cell r="J82">
            <v>9.3000000000000007</v>
          </cell>
        </row>
        <row r="83">
          <cell r="C83" t="str">
            <v>Latin America</v>
          </cell>
          <cell r="F83" t="str">
            <v>Enterprise</v>
          </cell>
          <cell r="G83">
            <v>831</v>
          </cell>
          <cell r="H83">
            <v>5.5</v>
          </cell>
          <cell r="I83">
            <v>2.92</v>
          </cell>
          <cell r="J83">
            <v>8.6999999999999993</v>
          </cell>
        </row>
        <row r="84">
          <cell r="C84" t="str">
            <v>Latin America</v>
          </cell>
          <cell r="F84" t="str">
            <v>Consumer</v>
          </cell>
          <cell r="G84">
            <v>1812</v>
          </cell>
          <cell r="H84">
            <v>2.39</v>
          </cell>
          <cell r="I84">
            <v>1.68</v>
          </cell>
          <cell r="J84">
            <v>7.2</v>
          </cell>
        </row>
        <row r="85">
          <cell r="C85" t="str">
            <v>Latin America</v>
          </cell>
          <cell r="F85" t="str">
            <v>SMB</v>
          </cell>
          <cell r="G85">
            <v>3530</v>
          </cell>
          <cell r="H85">
            <v>2.74</v>
          </cell>
          <cell r="I85">
            <v>2.0299999999999998</v>
          </cell>
          <cell r="J85">
            <v>8.9</v>
          </cell>
        </row>
        <row r="86">
          <cell r="C86" t="str">
            <v>Middle East &amp; Africa</v>
          </cell>
          <cell r="F86" t="str">
            <v>SMB</v>
          </cell>
          <cell r="G86">
            <v>1009</v>
          </cell>
          <cell r="H86">
            <v>4.25</v>
          </cell>
          <cell r="I86">
            <v>3.12</v>
          </cell>
          <cell r="J86">
            <v>8.8000000000000007</v>
          </cell>
        </row>
        <row r="87">
          <cell r="C87" t="str">
            <v>Middle East &amp; Africa</v>
          </cell>
          <cell r="F87" t="str">
            <v>SMB</v>
          </cell>
          <cell r="G87">
            <v>1893</v>
          </cell>
          <cell r="H87">
            <v>10.220000000000001</v>
          </cell>
          <cell r="I87">
            <v>6.61</v>
          </cell>
          <cell r="J87">
            <v>6.5</v>
          </cell>
        </row>
        <row r="88">
          <cell r="C88" t="str">
            <v>Middle East &amp; Africa</v>
          </cell>
          <cell r="F88" t="str">
            <v>SMB</v>
          </cell>
          <cell r="G88">
            <v>1217</v>
          </cell>
          <cell r="H88">
            <v>6.62</v>
          </cell>
          <cell r="I88">
            <v>4.0599999999999996</v>
          </cell>
          <cell r="J88">
            <v>5.7</v>
          </cell>
        </row>
        <row r="89">
          <cell r="C89" t="str">
            <v>Middle East &amp; Africa</v>
          </cell>
          <cell r="F89" t="str">
            <v>SMB</v>
          </cell>
          <cell r="G89">
            <v>1027</v>
          </cell>
          <cell r="H89">
            <v>4.42</v>
          </cell>
          <cell r="I89">
            <v>2.66</v>
          </cell>
          <cell r="J89">
            <v>8.6999999999999993</v>
          </cell>
        </row>
        <row r="90">
          <cell r="C90" t="str">
            <v>Middle East &amp; Africa</v>
          </cell>
          <cell r="F90" t="str">
            <v>Consumer</v>
          </cell>
          <cell r="G90">
            <v>2051</v>
          </cell>
          <cell r="H90">
            <v>1.72</v>
          </cell>
          <cell r="I90">
            <v>1.1599999999999999</v>
          </cell>
          <cell r="J90">
            <v>7.5</v>
          </cell>
        </row>
        <row r="91">
          <cell r="C91" t="str">
            <v>Middle East &amp; Africa</v>
          </cell>
          <cell r="F91" t="str">
            <v>Consumer</v>
          </cell>
          <cell r="G91">
            <v>2584</v>
          </cell>
          <cell r="H91">
            <v>4.62</v>
          </cell>
          <cell r="I91">
            <v>3.64</v>
          </cell>
          <cell r="J91">
            <v>5.9</v>
          </cell>
        </row>
        <row r="92">
          <cell r="C92" t="str">
            <v>North America</v>
          </cell>
          <cell r="F92" t="str">
            <v>Enterprise</v>
          </cell>
          <cell r="G92">
            <v>3568</v>
          </cell>
          <cell r="H92">
            <v>15.35</v>
          </cell>
          <cell r="I92">
            <v>10.89</v>
          </cell>
          <cell r="J92">
            <v>7.5</v>
          </cell>
        </row>
        <row r="93">
          <cell r="C93" t="str">
            <v>North America</v>
          </cell>
          <cell r="F93" t="str">
            <v>SMB</v>
          </cell>
          <cell r="G93">
            <v>3922</v>
          </cell>
          <cell r="H93">
            <v>14.38</v>
          </cell>
          <cell r="I93">
            <v>8.9</v>
          </cell>
          <cell r="J93">
            <v>8.5</v>
          </cell>
        </row>
        <row r="94">
          <cell r="C94" t="str">
            <v>North America</v>
          </cell>
          <cell r="F94" t="str">
            <v>Enterprise</v>
          </cell>
          <cell r="G94">
            <v>2679</v>
          </cell>
          <cell r="H94">
            <v>17.13</v>
          </cell>
          <cell r="I94">
            <v>11.59</v>
          </cell>
          <cell r="J94">
            <v>8.6999999999999993</v>
          </cell>
        </row>
        <row r="95">
          <cell r="C95" t="str">
            <v>North America</v>
          </cell>
          <cell r="F95" t="str">
            <v>SMB</v>
          </cell>
          <cell r="G95">
            <v>8799</v>
          </cell>
          <cell r="H95">
            <v>60.46</v>
          </cell>
          <cell r="I95">
            <v>36.78</v>
          </cell>
          <cell r="J95">
            <v>7.1</v>
          </cell>
        </row>
        <row r="96">
          <cell r="C96" t="str">
            <v>North America</v>
          </cell>
          <cell r="F96" t="str">
            <v>SMB</v>
          </cell>
          <cell r="G96">
            <v>1546</v>
          </cell>
          <cell r="H96">
            <v>0.9</v>
          </cell>
          <cell r="I96">
            <v>0.75</v>
          </cell>
          <cell r="J96">
            <v>8.1999999999999993</v>
          </cell>
        </row>
        <row r="97">
          <cell r="C97" t="str">
            <v>North America</v>
          </cell>
          <cell r="F97" t="str">
            <v>SMB</v>
          </cell>
          <cell r="G97">
            <v>1989</v>
          </cell>
          <cell r="H97">
            <v>1</v>
          </cell>
          <cell r="I97">
            <v>0.69</v>
          </cell>
          <cell r="J97">
            <v>7.2</v>
          </cell>
        </row>
        <row r="98">
          <cell r="C98" t="str">
            <v>Europe</v>
          </cell>
          <cell r="F98" t="str">
            <v>SMB</v>
          </cell>
          <cell r="G98">
            <v>1693</v>
          </cell>
          <cell r="H98">
            <v>3.82</v>
          </cell>
          <cell r="I98">
            <v>2.76</v>
          </cell>
          <cell r="J98">
            <v>8.4</v>
          </cell>
        </row>
        <row r="99">
          <cell r="C99" t="str">
            <v>Europe</v>
          </cell>
          <cell r="F99" t="str">
            <v>Enterprise</v>
          </cell>
          <cell r="G99">
            <v>1915</v>
          </cell>
          <cell r="H99">
            <v>7.82</v>
          </cell>
          <cell r="I99">
            <v>6.63</v>
          </cell>
          <cell r="J99">
            <v>6.4</v>
          </cell>
        </row>
        <row r="100">
          <cell r="C100" t="str">
            <v>Europe</v>
          </cell>
          <cell r="F100" t="str">
            <v>SMB</v>
          </cell>
          <cell r="G100">
            <v>3819</v>
          </cell>
          <cell r="H100">
            <v>21.34</v>
          </cell>
          <cell r="I100">
            <v>17.010000000000002</v>
          </cell>
          <cell r="J100">
            <v>7.1</v>
          </cell>
        </row>
        <row r="101">
          <cell r="C101" t="str">
            <v>Europe</v>
          </cell>
          <cell r="F101" t="str">
            <v>Enterprise</v>
          </cell>
          <cell r="G101">
            <v>4825</v>
          </cell>
          <cell r="H101">
            <v>35.22</v>
          </cell>
          <cell r="I101">
            <v>19.809999999999999</v>
          </cell>
          <cell r="J101">
            <v>6.7</v>
          </cell>
        </row>
        <row r="102">
          <cell r="C102" t="str">
            <v>Europe</v>
          </cell>
          <cell r="F102" t="str">
            <v>Consumer</v>
          </cell>
          <cell r="G102">
            <v>2488</v>
          </cell>
          <cell r="H102">
            <v>3.72</v>
          </cell>
          <cell r="I102">
            <v>2.5</v>
          </cell>
          <cell r="J102">
            <v>8.4</v>
          </cell>
        </row>
        <row r="103">
          <cell r="C103" t="str">
            <v>Europe</v>
          </cell>
          <cell r="F103" t="str">
            <v>SMB</v>
          </cell>
          <cell r="G103">
            <v>2813</v>
          </cell>
          <cell r="H103">
            <v>2.82</v>
          </cell>
          <cell r="I103">
            <v>2.15</v>
          </cell>
          <cell r="J103">
            <v>7.6</v>
          </cell>
        </row>
        <row r="104">
          <cell r="C104" t="str">
            <v>Asia Pacific</v>
          </cell>
          <cell r="F104" t="str">
            <v>SMB</v>
          </cell>
          <cell r="G104">
            <v>5410</v>
          </cell>
          <cell r="H104">
            <v>25.13</v>
          </cell>
          <cell r="I104">
            <v>20.86</v>
          </cell>
          <cell r="J104">
            <v>7.5</v>
          </cell>
        </row>
        <row r="105">
          <cell r="C105" t="str">
            <v>Asia Pacific</v>
          </cell>
          <cell r="F105" t="str">
            <v>Enterprise</v>
          </cell>
          <cell r="G105">
            <v>4605</v>
          </cell>
          <cell r="H105">
            <v>27.64</v>
          </cell>
          <cell r="I105">
            <v>15.79</v>
          </cell>
          <cell r="J105">
            <v>6.6</v>
          </cell>
        </row>
        <row r="106">
          <cell r="C106" t="str">
            <v>Asia Pacific</v>
          </cell>
          <cell r="F106" t="str">
            <v>SMB</v>
          </cell>
          <cell r="G106">
            <v>1598</v>
          </cell>
          <cell r="H106">
            <v>10.71</v>
          </cell>
          <cell r="I106">
            <v>8.3800000000000008</v>
          </cell>
          <cell r="J106">
            <v>7.8</v>
          </cell>
        </row>
        <row r="107">
          <cell r="C107" t="str">
            <v>Asia Pacific</v>
          </cell>
          <cell r="F107" t="str">
            <v>SMB</v>
          </cell>
          <cell r="G107">
            <v>3399</v>
          </cell>
          <cell r="H107">
            <v>21.95</v>
          </cell>
          <cell r="I107">
            <v>15.81</v>
          </cell>
          <cell r="J107">
            <v>8.1</v>
          </cell>
        </row>
        <row r="108">
          <cell r="C108" t="str">
            <v>Asia Pacific</v>
          </cell>
          <cell r="F108" t="str">
            <v>Consumer</v>
          </cell>
          <cell r="G108">
            <v>6411</v>
          </cell>
          <cell r="H108">
            <v>14.13</v>
          </cell>
          <cell r="I108">
            <v>11.8</v>
          </cell>
          <cell r="J108">
            <v>9.5</v>
          </cell>
        </row>
        <row r="109">
          <cell r="C109" t="str">
            <v>Asia Pacific</v>
          </cell>
          <cell r="F109" t="str">
            <v>SMB</v>
          </cell>
          <cell r="G109">
            <v>4195</v>
          </cell>
          <cell r="H109">
            <v>7.95</v>
          </cell>
          <cell r="I109">
            <v>5.61</v>
          </cell>
          <cell r="J109">
            <v>7.5</v>
          </cell>
        </row>
        <row r="110">
          <cell r="C110" t="str">
            <v>Latin America</v>
          </cell>
          <cell r="F110" t="str">
            <v>SMB</v>
          </cell>
          <cell r="G110">
            <v>2945</v>
          </cell>
          <cell r="H110">
            <v>10.73</v>
          </cell>
          <cell r="I110">
            <v>7.02</v>
          </cell>
          <cell r="J110">
            <v>7.2</v>
          </cell>
        </row>
        <row r="111">
          <cell r="C111" t="str">
            <v>Latin America</v>
          </cell>
          <cell r="F111" t="str">
            <v>Enterprise</v>
          </cell>
          <cell r="G111">
            <v>3778</v>
          </cell>
          <cell r="H111">
            <v>13.03</v>
          </cell>
          <cell r="I111">
            <v>8.2899999999999991</v>
          </cell>
          <cell r="J111">
            <v>9.3000000000000007</v>
          </cell>
        </row>
        <row r="112">
          <cell r="C112" t="str">
            <v>Latin America</v>
          </cell>
          <cell r="F112" t="str">
            <v>SMB</v>
          </cell>
          <cell r="G112">
            <v>903</v>
          </cell>
          <cell r="H112">
            <v>3.55</v>
          </cell>
          <cell r="I112">
            <v>2.6</v>
          </cell>
          <cell r="J112">
            <v>9</v>
          </cell>
        </row>
        <row r="113">
          <cell r="C113" t="str">
            <v>Latin America</v>
          </cell>
          <cell r="F113" t="str">
            <v>Enterprise</v>
          </cell>
          <cell r="G113">
            <v>3030</v>
          </cell>
          <cell r="H113">
            <v>17.010000000000002</v>
          </cell>
          <cell r="I113">
            <v>9.4600000000000009</v>
          </cell>
          <cell r="J113">
            <v>7.3</v>
          </cell>
        </row>
        <row r="114">
          <cell r="C114" t="str">
            <v>Latin America</v>
          </cell>
          <cell r="F114" t="str">
            <v>Consumer</v>
          </cell>
          <cell r="G114">
            <v>1334</v>
          </cell>
          <cell r="H114">
            <v>2.31</v>
          </cell>
          <cell r="I114">
            <v>1.57</v>
          </cell>
          <cell r="J114">
            <v>8.4</v>
          </cell>
        </row>
        <row r="115">
          <cell r="C115" t="str">
            <v>Latin America</v>
          </cell>
          <cell r="F115" t="str">
            <v>Consumer</v>
          </cell>
          <cell r="G115">
            <v>682</v>
          </cell>
          <cell r="H115">
            <v>1.27</v>
          </cell>
          <cell r="I115">
            <v>0.97</v>
          </cell>
          <cell r="J115">
            <v>7.1</v>
          </cell>
        </row>
        <row r="116">
          <cell r="C116" t="str">
            <v>Middle East &amp; Africa</v>
          </cell>
          <cell r="F116" t="str">
            <v>Enterprise</v>
          </cell>
          <cell r="G116">
            <v>1196</v>
          </cell>
          <cell r="H116">
            <v>5.92</v>
          </cell>
          <cell r="I116">
            <v>4.9400000000000004</v>
          </cell>
          <cell r="J116">
            <v>7.9</v>
          </cell>
        </row>
        <row r="117">
          <cell r="C117" t="str">
            <v>Middle East &amp; Africa</v>
          </cell>
          <cell r="F117" t="str">
            <v>Enterprise</v>
          </cell>
          <cell r="G117">
            <v>2061</v>
          </cell>
          <cell r="H117">
            <v>10.050000000000001</v>
          </cell>
          <cell r="I117">
            <v>6.35</v>
          </cell>
          <cell r="J117">
            <v>8.5</v>
          </cell>
        </row>
        <row r="118">
          <cell r="C118" t="str">
            <v>Middle East &amp; Africa</v>
          </cell>
          <cell r="F118" t="str">
            <v>SMB</v>
          </cell>
          <cell r="G118">
            <v>2228</v>
          </cell>
          <cell r="H118">
            <v>11.88</v>
          </cell>
          <cell r="I118">
            <v>7.75</v>
          </cell>
          <cell r="J118">
            <v>8.6999999999999993</v>
          </cell>
        </row>
        <row r="119">
          <cell r="C119" t="str">
            <v>Middle East &amp; Africa</v>
          </cell>
          <cell r="F119" t="str">
            <v>Enterprise</v>
          </cell>
          <cell r="G119">
            <v>1359</v>
          </cell>
          <cell r="H119">
            <v>9.2799999999999994</v>
          </cell>
          <cell r="I119">
            <v>7.24</v>
          </cell>
          <cell r="J119">
            <v>7.4</v>
          </cell>
        </row>
        <row r="120">
          <cell r="C120" t="str">
            <v>Middle East &amp; Africa</v>
          </cell>
          <cell r="F120" t="str">
            <v>SMB</v>
          </cell>
          <cell r="G120">
            <v>3132</v>
          </cell>
          <cell r="H120">
            <v>5.36</v>
          </cell>
          <cell r="I120">
            <v>4.34</v>
          </cell>
          <cell r="J120">
            <v>7.2</v>
          </cell>
        </row>
        <row r="121">
          <cell r="C121" t="str">
            <v>Middle East &amp; Africa</v>
          </cell>
          <cell r="F121" t="str">
            <v>SMB</v>
          </cell>
          <cell r="G121">
            <v>1576</v>
          </cell>
          <cell r="H121">
            <v>2.5499999999999998</v>
          </cell>
          <cell r="I121">
            <v>1.75</v>
          </cell>
          <cell r="J121">
            <v>6.7</v>
          </cell>
        </row>
        <row r="122">
          <cell r="C122" t="str">
            <v>North America</v>
          </cell>
          <cell r="F122" t="str">
            <v>SMB</v>
          </cell>
          <cell r="G122">
            <v>3100</v>
          </cell>
          <cell r="H122">
            <v>14.37</v>
          </cell>
          <cell r="I122">
            <v>11.11</v>
          </cell>
          <cell r="J122">
            <v>8.5</v>
          </cell>
        </row>
        <row r="123">
          <cell r="C123" t="str">
            <v>North America</v>
          </cell>
          <cell r="F123" t="str">
            <v>SMB</v>
          </cell>
          <cell r="G123">
            <v>4320</v>
          </cell>
          <cell r="H123">
            <v>21.4</v>
          </cell>
          <cell r="I123">
            <v>18.07</v>
          </cell>
          <cell r="J123">
            <v>7.7</v>
          </cell>
        </row>
        <row r="124">
          <cell r="C124" t="str">
            <v>North America</v>
          </cell>
          <cell r="F124" t="str">
            <v>SMB</v>
          </cell>
          <cell r="G124">
            <v>8191</v>
          </cell>
          <cell r="H124">
            <v>59.65</v>
          </cell>
          <cell r="I124">
            <v>39.24</v>
          </cell>
          <cell r="J124">
            <v>7.6</v>
          </cell>
        </row>
        <row r="125">
          <cell r="C125" t="str">
            <v>North America</v>
          </cell>
          <cell r="F125" t="str">
            <v>Enterprise</v>
          </cell>
          <cell r="G125">
            <v>4512</v>
          </cell>
          <cell r="H125">
            <v>26.35</v>
          </cell>
          <cell r="I125">
            <v>16.89</v>
          </cell>
          <cell r="J125">
            <v>9.4</v>
          </cell>
        </row>
        <row r="126">
          <cell r="C126" t="str">
            <v>North America</v>
          </cell>
          <cell r="F126" t="str">
            <v>Consumer</v>
          </cell>
          <cell r="G126">
            <v>8047</v>
          </cell>
          <cell r="H126">
            <v>19.02</v>
          </cell>
          <cell r="I126">
            <v>12.63</v>
          </cell>
          <cell r="J126">
            <v>7.1</v>
          </cell>
        </row>
        <row r="127">
          <cell r="C127" t="str">
            <v>North America</v>
          </cell>
          <cell r="F127" t="str">
            <v>SMB</v>
          </cell>
          <cell r="G127">
            <v>8212</v>
          </cell>
          <cell r="H127">
            <v>4.29</v>
          </cell>
          <cell r="I127">
            <v>3.17</v>
          </cell>
          <cell r="J127">
            <v>9.1999999999999993</v>
          </cell>
        </row>
        <row r="128">
          <cell r="C128" t="str">
            <v>Europe</v>
          </cell>
          <cell r="F128" t="str">
            <v>SMB</v>
          </cell>
          <cell r="G128">
            <v>7382</v>
          </cell>
          <cell r="H128">
            <v>38.729999999999997</v>
          </cell>
          <cell r="I128">
            <v>22.47</v>
          </cell>
          <cell r="J128">
            <v>6.6</v>
          </cell>
        </row>
        <row r="129">
          <cell r="C129" t="str">
            <v>Europe</v>
          </cell>
          <cell r="F129" t="str">
            <v>SMB</v>
          </cell>
          <cell r="G129">
            <v>6894</v>
          </cell>
          <cell r="H129">
            <v>15.95</v>
          </cell>
          <cell r="I129">
            <v>10.18</v>
          </cell>
          <cell r="J129">
            <v>7.3</v>
          </cell>
        </row>
        <row r="130">
          <cell r="C130" t="str">
            <v>Europe</v>
          </cell>
          <cell r="F130" t="str">
            <v>SMB</v>
          </cell>
          <cell r="G130">
            <v>4693</v>
          </cell>
          <cell r="H130">
            <v>30.52</v>
          </cell>
          <cell r="I130">
            <v>15.98</v>
          </cell>
          <cell r="J130">
            <v>9</v>
          </cell>
        </row>
        <row r="131">
          <cell r="C131" t="str">
            <v>Europe</v>
          </cell>
          <cell r="F131" t="str">
            <v>Enterprise</v>
          </cell>
          <cell r="G131">
            <v>4248</v>
          </cell>
          <cell r="H131">
            <v>23.78</v>
          </cell>
          <cell r="I131">
            <v>16.440000000000001</v>
          </cell>
          <cell r="J131">
            <v>7.6</v>
          </cell>
        </row>
        <row r="132">
          <cell r="C132" t="str">
            <v>Europe</v>
          </cell>
          <cell r="F132" t="str">
            <v>SMB</v>
          </cell>
          <cell r="G132">
            <v>6879</v>
          </cell>
          <cell r="H132">
            <v>11.89</v>
          </cell>
          <cell r="I132">
            <v>8.1199999999999992</v>
          </cell>
          <cell r="J132">
            <v>7.2</v>
          </cell>
        </row>
        <row r="133">
          <cell r="C133" t="str">
            <v>Europe</v>
          </cell>
          <cell r="F133" t="str">
            <v>SMB</v>
          </cell>
          <cell r="G133">
            <v>5169</v>
          </cell>
          <cell r="H133">
            <v>6.62</v>
          </cell>
          <cell r="I133">
            <v>5.32</v>
          </cell>
          <cell r="J133">
            <v>6.7</v>
          </cell>
        </row>
        <row r="134">
          <cell r="C134" t="str">
            <v>Asia Pacific</v>
          </cell>
          <cell r="F134" t="str">
            <v>Enterprise</v>
          </cell>
          <cell r="G134">
            <v>2318</v>
          </cell>
          <cell r="H134">
            <v>10.09</v>
          </cell>
          <cell r="I134">
            <v>8.5500000000000007</v>
          </cell>
          <cell r="J134">
            <v>7</v>
          </cell>
        </row>
        <row r="135">
          <cell r="C135" t="str">
            <v>Asia Pacific</v>
          </cell>
          <cell r="F135" t="str">
            <v>SMB</v>
          </cell>
          <cell r="G135">
            <v>2539</v>
          </cell>
          <cell r="H135">
            <v>11.23</v>
          </cell>
          <cell r="I135">
            <v>8.69</v>
          </cell>
          <cell r="J135">
            <v>6.2</v>
          </cell>
        </row>
        <row r="136">
          <cell r="C136" t="str">
            <v>Asia Pacific</v>
          </cell>
          <cell r="F136" t="str">
            <v>SMB</v>
          </cell>
          <cell r="G136">
            <v>5510</v>
          </cell>
          <cell r="H136">
            <v>24.25</v>
          </cell>
          <cell r="I136">
            <v>13.72</v>
          </cell>
          <cell r="J136">
            <v>6.7</v>
          </cell>
        </row>
        <row r="137">
          <cell r="C137" t="str">
            <v>Asia Pacific</v>
          </cell>
          <cell r="F137" t="str">
            <v>SMB</v>
          </cell>
          <cell r="G137">
            <v>4929</v>
          </cell>
          <cell r="H137">
            <v>33.590000000000003</v>
          </cell>
          <cell r="I137">
            <v>25.24</v>
          </cell>
          <cell r="J137">
            <v>8.1999999999999993</v>
          </cell>
        </row>
        <row r="138">
          <cell r="C138" t="str">
            <v>Asia Pacific</v>
          </cell>
          <cell r="F138" t="str">
            <v>SMB</v>
          </cell>
          <cell r="G138">
            <v>5586</v>
          </cell>
          <cell r="H138">
            <v>3.08</v>
          </cell>
          <cell r="I138">
            <v>1.82</v>
          </cell>
          <cell r="J138">
            <v>9.1999999999999993</v>
          </cell>
        </row>
        <row r="139">
          <cell r="C139" t="str">
            <v>Asia Pacific</v>
          </cell>
          <cell r="F139" t="str">
            <v>SMB</v>
          </cell>
          <cell r="G139">
            <v>5343</v>
          </cell>
          <cell r="H139">
            <v>4.21</v>
          </cell>
          <cell r="I139">
            <v>3</v>
          </cell>
          <cell r="J139">
            <v>9.4</v>
          </cell>
        </row>
        <row r="140">
          <cell r="C140" t="str">
            <v>Latin America</v>
          </cell>
          <cell r="F140" t="str">
            <v>Enterprise</v>
          </cell>
          <cell r="G140">
            <v>1582</v>
          </cell>
          <cell r="H140">
            <v>8.35</v>
          </cell>
          <cell r="I140">
            <v>6.61</v>
          </cell>
          <cell r="J140">
            <v>8.6</v>
          </cell>
        </row>
        <row r="141">
          <cell r="C141" t="str">
            <v>Latin America</v>
          </cell>
          <cell r="F141" t="str">
            <v>SMB</v>
          </cell>
          <cell r="G141">
            <v>3691</v>
          </cell>
          <cell r="H141">
            <v>13.08</v>
          </cell>
          <cell r="I141">
            <v>10.15</v>
          </cell>
          <cell r="J141">
            <v>6.8</v>
          </cell>
        </row>
        <row r="142">
          <cell r="C142" t="str">
            <v>Latin America</v>
          </cell>
          <cell r="F142" t="str">
            <v>SMB</v>
          </cell>
          <cell r="G142">
            <v>940</v>
          </cell>
          <cell r="H142">
            <v>4.45</v>
          </cell>
          <cell r="I142">
            <v>2.39</v>
          </cell>
          <cell r="J142">
            <v>7.3</v>
          </cell>
        </row>
        <row r="143">
          <cell r="C143" t="str">
            <v>Latin America</v>
          </cell>
          <cell r="F143" t="str">
            <v>SMB</v>
          </cell>
          <cell r="G143">
            <v>2845</v>
          </cell>
          <cell r="H143">
            <v>22.02</v>
          </cell>
          <cell r="I143">
            <v>11.73</v>
          </cell>
          <cell r="J143">
            <v>6.8</v>
          </cell>
        </row>
        <row r="144">
          <cell r="C144" t="str">
            <v>Latin America</v>
          </cell>
          <cell r="F144" t="str">
            <v>Consumer</v>
          </cell>
          <cell r="G144">
            <v>3088</v>
          </cell>
          <cell r="H144">
            <v>5.43</v>
          </cell>
          <cell r="I144">
            <v>4.13</v>
          </cell>
          <cell r="J144">
            <v>8.3000000000000007</v>
          </cell>
        </row>
        <row r="145">
          <cell r="C145" t="str">
            <v>Latin America</v>
          </cell>
          <cell r="F145" t="str">
            <v>Consumer</v>
          </cell>
          <cell r="G145">
            <v>1131</v>
          </cell>
          <cell r="H145">
            <v>2.6</v>
          </cell>
          <cell r="I145">
            <v>1.81</v>
          </cell>
          <cell r="J145">
            <v>6.3</v>
          </cell>
        </row>
        <row r="146">
          <cell r="C146" t="str">
            <v>Middle East &amp; Africa</v>
          </cell>
          <cell r="F146" t="str">
            <v>SMB</v>
          </cell>
          <cell r="G146">
            <v>1980</v>
          </cell>
          <cell r="H146">
            <v>9.7200000000000006</v>
          </cell>
          <cell r="I146">
            <v>8.1</v>
          </cell>
          <cell r="J146">
            <v>7.1</v>
          </cell>
        </row>
        <row r="147">
          <cell r="C147" t="str">
            <v>Middle East &amp; Africa</v>
          </cell>
          <cell r="F147" t="str">
            <v>Enterprise</v>
          </cell>
          <cell r="G147">
            <v>3388</v>
          </cell>
          <cell r="H147">
            <v>16.7</v>
          </cell>
          <cell r="I147">
            <v>12.27</v>
          </cell>
          <cell r="J147">
            <v>8.9</v>
          </cell>
        </row>
        <row r="148">
          <cell r="C148" t="str">
            <v>Middle East &amp; Africa</v>
          </cell>
          <cell r="F148" t="str">
            <v>SMB</v>
          </cell>
          <cell r="G148">
            <v>1209</v>
          </cell>
          <cell r="H148">
            <v>5.98</v>
          </cell>
          <cell r="I148">
            <v>3.64</v>
          </cell>
          <cell r="J148">
            <v>9</v>
          </cell>
        </row>
        <row r="149">
          <cell r="C149" t="str">
            <v>Middle East &amp; Africa</v>
          </cell>
          <cell r="F149" t="str">
            <v>SMB</v>
          </cell>
          <cell r="G149">
            <v>2276</v>
          </cell>
          <cell r="H149">
            <v>17.45</v>
          </cell>
          <cell r="I149">
            <v>10.81</v>
          </cell>
          <cell r="J149">
            <v>6.3</v>
          </cell>
        </row>
        <row r="150">
          <cell r="C150" t="str">
            <v>Middle East &amp; Africa</v>
          </cell>
          <cell r="F150" t="str">
            <v>Consumer</v>
          </cell>
          <cell r="G150">
            <v>2662</v>
          </cell>
          <cell r="H150">
            <v>4.84</v>
          </cell>
          <cell r="I150">
            <v>2.69</v>
          </cell>
          <cell r="J150">
            <v>8.4</v>
          </cell>
        </row>
        <row r="151">
          <cell r="C151" t="str">
            <v>Middle East &amp; Africa</v>
          </cell>
          <cell r="F151" t="str">
            <v>Consumer</v>
          </cell>
          <cell r="G151">
            <v>3725</v>
          </cell>
          <cell r="H151">
            <v>7.27</v>
          </cell>
          <cell r="I151">
            <v>5.81</v>
          </cell>
          <cell r="J151">
            <v>7.5</v>
          </cell>
        </row>
        <row r="152">
          <cell r="C152" t="str">
            <v>North America</v>
          </cell>
          <cell r="F152" t="str">
            <v>Enterprise</v>
          </cell>
          <cell r="G152">
            <v>3979</v>
          </cell>
          <cell r="H152">
            <v>11.13</v>
          </cell>
          <cell r="I152">
            <v>6.13</v>
          </cell>
          <cell r="J152">
            <v>9</v>
          </cell>
        </row>
        <row r="153">
          <cell r="C153" t="str">
            <v>North America</v>
          </cell>
          <cell r="F153" t="str">
            <v>Enterprise</v>
          </cell>
          <cell r="G153">
            <v>9414</v>
          </cell>
          <cell r="H153">
            <v>41.51</v>
          </cell>
          <cell r="I153">
            <v>24.2</v>
          </cell>
          <cell r="J153">
            <v>9</v>
          </cell>
        </row>
        <row r="154">
          <cell r="C154" t="str">
            <v>North America</v>
          </cell>
          <cell r="F154" t="str">
            <v>SMB</v>
          </cell>
          <cell r="G154">
            <v>7785</v>
          </cell>
          <cell r="H154">
            <v>31.47</v>
          </cell>
          <cell r="I154">
            <v>17.38</v>
          </cell>
          <cell r="J154">
            <v>6.2</v>
          </cell>
        </row>
        <row r="155">
          <cell r="C155" t="str">
            <v>North America</v>
          </cell>
          <cell r="F155" t="str">
            <v>SMB</v>
          </cell>
          <cell r="G155">
            <v>5608</v>
          </cell>
          <cell r="H155">
            <v>37.549999999999997</v>
          </cell>
          <cell r="I155">
            <v>27.54</v>
          </cell>
          <cell r="J155">
            <v>7.8</v>
          </cell>
        </row>
        <row r="156">
          <cell r="C156" t="str">
            <v>North America</v>
          </cell>
          <cell r="F156" t="str">
            <v>Consumer</v>
          </cell>
          <cell r="G156">
            <v>9067</v>
          </cell>
          <cell r="H156">
            <v>5.62</v>
          </cell>
          <cell r="I156">
            <v>4.55</v>
          </cell>
          <cell r="J156">
            <v>7.8</v>
          </cell>
        </row>
        <row r="157">
          <cell r="C157" t="str">
            <v>North America</v>
          </cell>
          <cell r="F157" t="str">
            <v>SMB</v>
          </cell>
          <cell r="G157">
            <v>6575</v>
          </cell>
          <cell r="H157">
            <v>4.07</v>
          </cell>
          <cell r="I157">
            <v>3.27</v>
          </cell>
          <cell r="J157">
            <v>7.5</v>
          </cell>
        </row>
        <row r="158">
          <cell r="C158" t="str">
            <v>Europe</v>
          </cell>
          <cell r="F158" t="str">
            <v>SMB</v>
          </cell>
          <cell r="G158">
            <v>1527</v>
          </cell>
          <cell r="H158">
            <v>3.62</v>
          </cell>
          <cell r="I158">
            <v>2.06</v>
          </cell>
          <cell r="J158">
            <v>7</v>
          </cell>
        </row>
        <row r="159">
          <cell r="C159" t="str">
            <v>Europe</v>
          </cell>
          <cell r="F159" t="str">
            <v>SMB</v>
          </cell>
          <cell r="G159">
            <v>3594</v>
          </cell>
          <cell r="H159">
            <v>15.13</v>
          </cell>
          <cell r="I159">
            <v>10.62</v>
          </cell>
          <cell r="J159">
            <v>7.5</v>
          </cell>
        </row>
        <row r="160">
          <cell r="C160" t="str">
            <v>Europe</v>
          </cell>
          <cell r="F160" t="str">
            <v>Enterprise</v>
          </cell>
          <cell r="G160">
            <v>3924</v>
          </cell>
          <cell r="H160">
            <v>28.69</v>
          </cell>
          <cell r="I160">
            <v>21.47</v>
          </cell>
          <cell r="J160">
            <v>7.4</v>
          </cell>
        </row>
        <row r="161">
          <cell r="C161" t="str">
            <v>Europe</v>
          </cell>
          <cell r="F161" t="str">
            <v>Enterprise</v>
          </cell>
          <cell r="G161">
            <v>3134</v>
          </cell>
          <cell r="H161">
            <v>13.6</v>
          </cell>
          <cell r="I161">
            <v>10.69</v>
          </cell>
          <cell r="J161">
            <v>8.4</v>
          </cell>
        </row>
        <row r="162">
          <cell r="C162" t="str">
            <v>Europe</v>
          </cell>
          <cell r="F162" t="str">
            <v>Consumer</v>
          </cell>
          <cell r="G162">
            <v>6624</v>
          </cell>
          <cell r="H162">
            <v>4.18</v>
          </cell>
          <cell r="I162">
            <v>3.23</v>
          </cell>
          <cell r="J162">
            <v>8.8000000000000007</v>
          </cell>
        </row>
        <row r="163">
          <cell r="C163" t="str">
            <v>Europe</v>
          </cell>
          <cell r="F163" t="str">
            <v>Consumer</v>
          </cell>
          <cell r="G163">
            <v>4975</v>
          </cell>
          <cell r="H163">
            <v>7.8</v>
          </cell>
          <cell r="I163">
            <v>4.58</v>
          </cell>
          <cell r="J163">
            <v>7.2</v>
          </cell>
        </row>
        <row r="164">
          <cell r="C164" t="str">
            <v>Asia Pacific</v>
          </cell>
          <cell r="F164" t="str">
            <v>Enterprise</v>
          </cell>
          <cell r="G164">
            <v>6856</v>
          </cell>
          <cell r="H164">
            <v>29.28</v>
          </cell>
          <cell r="I164">
            <v>21.18</v>
          </cell>
          <cell r="J164">
            <v>6.7</v>
          </cell>
        </row>
        <row r="165">
          <cell r="C165" t="str">
            <v>Asia Pacific</v>
          </cell>
          <cell r="F165" t="str">
            <v>SMB</v>
          </cell>
          <cell r="G165">
            <v>2310</v>
          </cell>
          <cell r="H165">
            <v>6.01</v>
          </cell>
          <cell r="I165">
            <v>3.97</v>
          </cell>
          <cell r="J165">
            <v>8.6999999999999993</v>
          </cell>
        </row>
        <row r="166">
          <cell r="C166" t="str">
            <v>Asia Pacific</v>
          </cell>
          <cell r="F166" t="str">
            <v>SMB</v>
          </cell>
          <cell r="G166">
            <v>6103</v>
          </cell>
          <cell r="H166">
            <v>51.11</v>
          </cell>
          <cell r="I166">
            <v>34.96</v>
          </cell>
          <cell r="J166">
            <v>8.1999999999999993</v>
          </cell>
        </row>
        <row r="167">
          <cell r="C167" t="str">
            <v>Asia Pacific</v>
          </cell>
          <cell r="F167" t="str">
            <v>Enterprise</v>
          </cell>
          <cell r="G167">
            <v>4660</v>
          </cell>
          <cell r="H167">
            <v>30.44</v>
          </cell>
          <cell r="I167">
            <v>15.48</v>
          </cell>
          <cell r="J167">
            <v>7</v>
          </cell>
        </row>
        <row r="168">
          <cell r="C168" t="str">
            <v>Asia Pacific</v>
          </cell>
          <cell r="F168" t="str">
            <v>SMB</v>
          </cell>
          <cell r="G168">
            <v>977</v>
          </cell>
          <cell r="H168">
            <v>2.2200000000000002</v>
          </cell>
          <cell r="I168">
            <v>1.49</v>
          </cell>
          <cell r="J168">
            <v>6.5</v>
          </cell>
        </row>
        <row r="169">
          <cell r="C169" t="str">
            <v>Asia Pacific</v>
          </cell>
          <cell r="F169" t="str">
            <v>Consumer</v>
          </cell>
          <cell r="G169">
            <v>1500</v>
          </cell>
          <cell r="H169">
            <v>2.2799999999999998</v>
          </cell>
          <cell r="I169">
            <v>1.56</v>
          </cell>
          <cell r="J169">
            <v>6.6</v>
          </cell>
        </row>
        <row r="170">
          <cell r="C170" t="str">
            <v>Latin America</v>
          </cell>
          <cell r="F170" t="str">
            <v>Enterprise</v>
          </cell>
          <cell r="G170">
            <v>4119</v>
          </cell>
          <cell r="H170">
            <v>11.35</v>
          </cell>
          <cell r="I170">
            <v>6.41</v>
          </cell>
          <cell r="J170">
            <v>6.3</v>
          </cell>
        </row>
        <row r="171">
          <cell r="C171" t="str">
            <v>Latin America</v>
          </cell>
          <cell r="F171" t="str">
            <v>SMB</v>
          </cell>
          <cell r="G171">
            <v>3239</v>
          </cell>
          <cell r="H171">
            <v>12.62</v>
          </cell>
          <cell r="I171">
            <v>7.98</v>
          </cell>
          <cell r="J171">
            <v>8.6</v>
          </cell>
        </row>
        <row r="172">
          <cell r="C172" t="str">
            <v>Latin America</v>
          </cell>
          <cell r="F172" t="str">
            <v>SMB</v>
          </cell>
          <cell r="G172">
            <v>1051</v>
          </cell>
          <cell r="H172">
            <v>6.84</v>
          </cell>
          <cell r="I172">
            <v>4.5</v>
          </cell>
          <cell r="J172">
            <v>7.1</v>
          </cell>
        </row>
        <row r="173">
          <cell r="C173" t="str">
            <v>Latin America</v>
          </cell>
          <cell r="F173" t="str">
            <v>Enterprise</v>
          </cell>
          <cell r="G173">
            <v>2180</v>
          </cell>
          <cell r="H173">
            <v>11.79</v>
          </cell>
          <cell r="I173">
            <v>6.96</v>
          </cell>
          <cell r="J173">
            <v>6.7</v>
          </cell>
        </row>
        <row r="174">
          <cell r="C174" t="str">
            <v>Latin America</v>
          </cell>
          <cell r="F174" t="str">
            <v>SMB</v>
          </cell>
          <cell r="G174">
            <v>1914</v>
          </cell>
          <cell r="H174">
            <v>1.04</v>
          </cell>
          <cell r="I174">
            <v>0.63</v>
          </cell>
          <cell r="J174">
            <v>7.3</v>
          </cell>
        </row>
        <row r="175">
          <cell r="C175" t="str">
            <v>Latin America</v>
          </cell>
          <cell r="F175" t="str">
            <v>Consumer</v>
          </cell>
          <cell r="G175">
            <v>2597</v>
          </cell>
          <cell r="H175">
            <v>5.97</v>
          </cell>
          <cell r="I175">
            <v>3.41</v>
          </cell>
          <cell r="J175">
            <v>9</v>
          </cell>
        </row>
        <row r="176">
          <cell r="C176" t="str">
            <v>Middle East &amp; Africa</v>
          </cell>
          <cell r="F176" t="str">
            <v>Enterprise</v>
          </cell>
          <cell r="G176">
            <v>2062</v>
          </cell>
          <cell r="H176">
            <v>4.59</v>
          </cell>
          <cell r="I176">
            <v>3.12</v>
          </cell>
          <cell r="J176">
            <v>7</v>
          </cell>
        </row>
        <row r="177">
          <cell r="C177" t="str">
            <v>Middle East &amp; Africa</v>
          </cell>
          <cell r="F177" t="str">
            <v>SMB</v>
          </cell>
          <cell r="G177">
            <v>1489</v>
          </cell>
          <cell r="H177">
            <v>5.89</v>
          </cell>
          <cell r="I177">
            <v>3.54</v>
          </cell>
          <cell r="J177">
            <v>8.9</v>
          </cell>
        </row>
        <row r="178">
          <cell r="C178" t="str">
            <v>Middle East &amp; Africa</v>
          </cell>
          <cell r="F178" t="str">
            <v>Enterprise</v>
          </cell>
          <cell r="G178">
            <v>1984</v>
          </cell>
          <cell r="H178">
            <v>6.91</v>
          </cell>
          <cell r="I178">
            <v>4.29</v>
          </cell>
          <cell r="J178">
            <v>5.9</v>
          </cell>
        </row>
        <row r="179">
          <cell r="C179" t="str">
            <v>Middle East &amp; Africa</v>
          </cell>
          <cell r="F179" t="str">
            <v>SMB</v>
          </cell>
          <cell r="G179">
            <v>3023</v>
          </cell>
          <cell r="H179">
            <v>13.11</v>
          </cell>
          <cell r="I179">
            <v>6.86</v>
          </cell>
          <cell r="J179">
            <v>7.8</v>
          </cell>
        </row>
        <row r="180">
          <cell r="C180" t="str">
            <v>Middle East &amp; Africa</v>
          </cell>
          <cell r="F180" t="str">
            <v>SMB</v>
          </cell>
          <cell r="G180">
            <v>1696</v>
          </cell>
          <cell r="H180">
            <v>4.22</v>
          </cell>
          <cell r="I180">
            <v>2.5099999999999998</v>
          </cell>
          <cell r="J180">
            <v>6</v>
          </cell>
        </row>
        <row r="181">
          <cell r="C181" t="str">
            <v>Middle East &amp; Africa</v>
          </cell>
          <cell r="F181" t="str">
            <v>SMB</v>
          </cell>
          <cell r="G181">
            <v>1179</v>
          </cell>
          <cell r="H181">
            <v>2.11</v>
          </cell>
          <cell r="I181">
            <v>1.58</v>
          </cell>
          <cell r="J181">
            <v>6.2</v>
          </cell>
        </row>
        <row r="182">
          <cell r="C182" t="str">
            <v>North America</v>
          </cell>
          <cell r="F182" t="str">
            <v>SMB</v>
          </cell>
          <cell r="G182">
            <v>7715</v>
          </cell>
          <cell r="H182">
            <v>38.479999999999997</v>
          </cell>
          <cell r="I182">
            <v>31.83</v>
          </cell>
          <cell r="J182">
            <v>8</v>
          </cell>
        </row>
        <row r="183">
          <cell r="C183" t="str">
            <v>North America</v>
          </cell>
          <cell r="F183" t="str">
            <v>SMB</v>
          </cell>
          <cell r="G183">
            <v>8647</v>
          </cell>
          <cell r="H183">
            <v>36.270000000000003</v>
          </cell>
          <cell r="I183">
            <v>20.69</v>
          </cell>
          <cell r="J183">
            <v>7.5</v>
          </cell>
        </row>
        <row r="184">
          <cell r="C184" t="str">
            <v>North America</v>
          </cell>
          <cell r="F184" t="str">
            <v>Enterprise</v>
          </cell>
          <cell r="G184">
            <v>4296</v>
          </cell>
          <cell r="H184">
            <v>14.37</v>
          </cell>
          <cell r="I184">
            <v>7.35</v>
          </cell>
          <cell r="J184">
            <v>7.3</v>
          </cell>
        </row>
        <row r="185">
          <cell r="C185" t="str">
            <v>North America</v>
          </cell>
          <cell r="F185" t="str">
            <v>SMB</v>
          </cell>
          <cell r="G185">
            <v>1958</v>
          </cell>
          <cell r="H185">
            <v>15.35</v>
          </cell>
          <cell r="I185">
            <v>10.51</v>
          </cell>
          <cell r="J185">
            <v>7.8</v>
          </cell>
        </row>
        <row r="186">
          <cell r="C186" t="str">
            <v>North America</v>
          </cell>
          <cell r="F186" t="str">
            <v>SMB</v>
          </cell>
          <cell r="G186">
            <v>9028</v>
          </cell>
          <cell r="H186">
            <v>13.91</v>
          </cell>
          <cell r="I186">
            <v>10.18</v>
          </cell>
          <cell r="J186">
            <v>7.8</v>
          </cell>
        </row>
        <row r="187">
          <cell r="C187" t="str">
            <v>North America</v>
          </cell>
          <cell r="F187" t="str">
            <v>Consumer</v>
          </cell>
          <cell r="G187">
            <v>5133</v>
          </cell>
          <cell r="H187">
            <v>11.63</v>
          </cell>
          <cell r="I187">
            <v>9.82</v>
          </cell>
          <cell r="J187">
            <v>6.3</v>
          </cell>
        </row>
        <row r="188">
          <cell r="C188" t="str">
            <v>Europe</v>
          </cell>
          <cell r="F188" t="str">
            <v>Enterprise</v>
          </cell>
          <cell r="G188">
            <v>2779</v>
          </cell>
          <cell r="H188">
            <v>10.3</v>
          </cell>
          <cell r="I188">
            <v>7.28</v>
          </cell>
          <cell r="J188">
            <v>6.6</v>
          </cell>
        </row>
        <row r="189">
          <cell r="C189" t="str">
            <v>Europe</v>
          </cell>
          <cell r="F189" t="str">
            <v>SMB</v>
          </cell>
          <cell r="G189">
            <v>7418</v>
          </cell>
          <cell r="H189">
            <v>27.78</v>
          </cell>
          <cell r="I189">
            <v>20.94</v>
          </cell>
          <cell r="J189">
            <v>6.2</v>
          </cell>
        </row>
        <row r="190">
          <cell r="C190" t="str">
            <v>Europe</v>
          </cell>
          <cell r="F190" t="str">
            <v>Enterprise</v>
          </cell>
          <cell r="G190">
            <v>3346</v>
          </cell>
          <cell r="H190">
            <v>18.93</v>
          </cell>
          <cell r="I190">
            <v>10.9</v>
          </cell>
          <cell r="J190">
            <v>9</v>
          </cell>
        </row>
        <row r="191">
          <cell r="C191" t="str">
            <v>Europe</v>
          </cell>
          <cell r="F191" t="str">
            <v>Enterprise</v>
          </cell>
          <cell r="G191">
            <v>3372</v>
          </cell>
          <cell r="H191">
            <v>18.510000000000002</v>
          </cell>
          <cell r="I191">
            <v>11.2</v>
          </cell>
          <cell r="J191">
            <v>9.4</v>
          </cell>
        </row>
        <row r="192">
          <cell r="C192" t="str">
            <v>Europe</v>
          </cell>
          <cell r="F192" t="str">
            <v>Consumer</v>
          </cell>
          <cell r="G192">
            <v>5183</v>
          </cell>
          <cell r="H192">
            <v>11.85</v>
          </cell>
          <cell r="I192">
            <v>7.86</v>
          </cell>
          <cell r="J192">
            <v>8.8000000000000007</v>
          </cell>
        </row>
        <row r="193">
          <cell r="C193" t="str">
            <v>Europe</v>
          </cell>
          <cell r="F193" t="str">
            <v>Consumer</v>
          </cell>
          <cell r="G193">
            <v>5702</v>
          </cell>
          <cell r="H193">
            <v>12.89</v>
          </cell>
          <cell r="I193">
            <v>9.74</v>
          </cell>
          <cell r="J193">
            <v>7.8</v>
          </cell>
        </row>
        <row r="194">
          <cell r="C194" t="str">
            <v>Asia Pacific</v>
          </cell>
          <cell r="F194" t="str">
            <v>SMB</v>
          </cell>
          <cell r="G194">
            <v>1082</v>
          </cell>
          <cell r="H194">
            <v>3.82</v>
          </cell>
          <cell r="I194">
            <v>2.4900000000000002</v>
          </cell>
          <cell r="J194">
            <v>8.6999999999999993</v>
          </cell>
        </row>
        <row r="195">
          <cell r="C195" t="str">
            <v>Asia Pacific</v>
          </cell>
          <cell r="F195" t="str">
            <v>Enterprise</v>
          </cell>
          <cell r="G195">
            <v>2393</v>
          </cell>
          <cell r="H195">
            <v>5.59</v>
          </cell>
          <cell r="I195">
            <v>4.49</v>
          </cell>
          <cell r="J195">
            <v>6.4</v>
          </cell>
        </row>
        <row r="196">
          <cell r="C196" t="str">
            <v>Asia Pacific</v>
          </cell>
          <cell r="F196" t="str">
            <v>SMB</v>
          </cell>
          <cell r="G196">
            <v>6482</v>
          </cell>
          <cell r="H196">
            <v>40.24</v>
          </cell>
          <cell r="I196">
            <v>21.98</v>
          </cell>
          <cell r="J196">
            <v>6.6</v>
          </cell>
        </row>
        <row r="197">
          <cell r="C197" t="str">
            <v>Asia Pacific</v>
          </cell>
          <cell r="F197" t="str">
            <v>Enterprise</v>
          </cell>
          <cell r="G197">
            <v>5505</v>
          </cell>
          <cell r="H197">
            <v>17.239999999999998</v>
          </cell>
          <cell r="I197">
            <v>12.34</v>
          </cell>
          <cell r="J197">
            <v>9.4</v>
          </cell>
        </row>
        <row r="198">
          <cell r="C198" t="str">
            <v>Asia Pacific</v>
          </cell>
          <cell r="F198" t="str">
            <v>SMB</v>
          </cell>
          <cell r="G198">
            <v>2440</v>
          </cell>
          <cell r="H198">
            <v>2.61</v>
          </cell>
          <cell r="I198">
            <v>2.0499999999999998</v>
          </cell>
          <cell r="J198">
            <v>9.1999999999999993</v>
          </cell>
        </row>
        <row r="199">
          <cell r="C199" t="str">
            <v>Asia Pacific</v>
          </cell>
          <cell r="F199" t="str">
            <v>Consumer</v>
          </cell>
          <cell r="G199">
            <v>3282</v>
          </cell>
          <cell r="H199">
            <v>8.6199999999999992</v>
          </cell>
          <cell r="I199">
            <v>5.93</v>
          </cell>
          <cell r="J199">
            <v>7</v>
          </cell>
        </row>
        <row r="200">
          <cell r="C200" t="str">
            <v>Latin America</v>
          </cell>
          <cell r="F200" t="str">
            <v>Enterprise</v>
          </cell>
          <cell r="G200">
            <v>3970</v>
          </cell>
          <cell r="H200">
            <v>19.170000000000002</v>
          </cell>
          <cell r="I200">
            <v>11.98</v>
          </cell>
          <cell r="J200">
            <v>8.1999999999999993</v>
          </cell>
        </row>
        <row r="201">
          <cell r="C201" t="str">
            <v>Latin America</v>
          </cell>
          <cell r="F201" t="str">
            <v>SMB</v>
          </cell>
          <cell r="G201">
            <v>2897</v>
          </cell>
          <cell r="H201">
            <v>7.47</v>
          </cell>
          <cell r="I201">
            <v>6.02</v>
          </cell>
          <cell r="J201">
            <v>7</v>
          </cell>
        </row>
        <row r="202">
          <cell r="C202" t="str">
            <v>Latin America</v>
          </cell>
          <cell r="F202" t="str">
            <v>SMB</v>
          </cell>
          <cell r="G202">
            <v>4331</v>
          </cell>
          <cell r="H202">
            <v>15.98</v>
          </cell>
          <cell r="I202">
            <v>12.53</v>
          </cell>
          <cell r="J202">
            <v>6.8</v>
          </cell>
        </row>
        <row r="203">
          <cell r="C203" t="str">
            <v>Latin America</v>
          </cell>
          <cell r="F203" t="str">
            <v>SMB</v>
          </cell>
          <cell r="G203">
            <v>4247</v>
          </cell>
          <cell r="H203">
            <v>31.95</v>
          </cell>
          <cell r="I203">
            <v>19.78</v>
          </cell>
          <cell r="J203">
            <v>7.3</v>
          </cell>
        </row>
        <row r="204">
          <cell r="C204" t="str">
            <v>Latin America</v>
          </cell>
          <cell r="F204" t="str">
            <v>SMB</v>
          </cell>
          <cell r="G204">
            <v>1547</v>
          </cell>
          <cell r="H204">
            <v>1.62</v>
          </cell>
          <cell r="I204">
            <v>1.24</v>
          </cell>
          <cell r="J204">
            <v>7.2</v>
          </cell>
        </row>
        <row r="205">
          <cell r="C205" t="str">
            <v>Latin America</v>
          </cell>
          <cell r="F205" t="str">
            <v>Consumer</v>
          </cell>
          <cell r="G205">
            <v>1191</v>
          </cell>
          <cell r="H205">
            <v>1.36</v>
          </cell>
          <cell r="I205">
            <v>1.03</v>
          </cell>
          <cell r="J205">
            <v>6.5</v>
          </cell>
        </row>
        <row r="206">
          <cell r="C206" t="str">
            <v>Middle East &amp; Africa</v>
          </cell>
          <cell r="F206" t="str">
            <v>SMB</v>
          </cell>
          <cell r="G206">
            <v>2661</v>
          </cell>
          <cell r="H206">
            <v>13.52</v>
          </cell>
          <cell r="I206">
            <v>8.31</v>
          </cell>
          <cell r="J206">
            <v>6.1</v>
          </cell>
        </row>
        <row r="207">
          <cell r="C207" t="str">
            <v>Middle East &amp; Africa</v>
          </cell>
          <cell r="F207" t="str">
            <v>SMB</v>
          </cell>
          <cell r="G207">
            <v>917</v>
          </cell>
          <cell r="H207">
            <v>2.78</v>
          </cell>
          <cell r="I207">
            <v>1.57</v>
          </cell>
          <cell r="J207">
            <v>7.1</v>
          </cell>
        </row>
        <row r="208">
          <cell r="C208" t="str">
            <v>Middle East &amp; Africa</v>
          </cell>
          <cell r="F208" t="str">
            <v>Enterprise</v>
          </cell>
          <cell r="G208">
            <v>916</v>
          </cell>
          <cell r="H208">
            <v>7.03</v>
          </cell>
          <cell r="I208">
            <v>3.55</v>
          </cell>
          <cell r="J208">
            <v>7.4</v>
          </cell>
        </row>
        <row r="209">
          <cell r="C209" t="str">
            <v>Middle East &amp; Africa</v>
          </cell>
          <cell r="F209" t="str">
            <v>Enterprise</v>
          </cell>
          <cell r="G209">
            <v>3018</v>
          </cell>
          <cell r="H209">
            <v>12.11</v>
          </cell>
          <cell r="I209">
            <v>7.34</v>
          </cell>
          <cell r="J209">
            <v>7.6</v>
          </cell>
        </row>
        <row r="210">
          <cell r="C210" t="str">
            <v>Middle East &amp; Africa</v>
          </cell>
          <cell r="F210" t="str">
            <v>SMB</v>
          </cell>
          <cell r="G210">
            <v>766</v>
          </cell>
          <cell r="H210">
            <v>1.19</v>
          </cell>
          <cell r="I210">
            <v>1.01</v>
          </cell>
          <cell r="J210">
            <v>7.5</v>
          </cell>
        </row>
        <row r="211">
          <cell r="C211" t="str">
            <v>Middle East &amp; Africa</v>
          </cell>
          <cell r="F211" t="str">
            <v>SMB</v>
          </cell>
          <cell r="G211">
            <v>3554</v>
          </cell>
          <cell r="H211">
            <v>2.04</v>
          </cell>
          <cell r="I211">
            <v>1.35</v>
          </cell>
          <cell r="J211">
            <v>8.1999999999999993</v>
          </cell>
        </row>
        <row r="212">
          <cell r="C212" t="str">
            <v>North America</v>
          </cell>
          <cell r="F212" t="str">
            <v>SMB</v>
          </cell>
          <cell r="G212">
            <v>3452</v>
          </cell>
          <cell r="H212">
            <v>14.71</v>
          </cell>
          <cell r="I212">
            <v>10.66</v>
          </cell>
          <cell r="J212">
            <v>8.6</v>
          </cell>
        </row>
        <row r="213">
          <cell r="C213" t="str">
            <v>North America</v>
          </cell>
          <cell r="F213" t="str">
            <v>Enterprise</v>
          </cell>
          <cell r="G213">
            <v>1732</v>
          </cell>
          <cell r="H213">
            <v>7.7</v>
          </cell>
          <cell r="I213">
            <v>4.6399999999999997</v>
          </cell>
          <cell r="J213">
            <v>8.6999999999999993</v>
          </cell>
        </row>
        <row r="214">
          <cell r="C214" t="str">
            <v>North America</v>
          </cell>
          <cell r="F214" t="str">
            <v>Enterprise</v>
          </cell>
          <cell r="G214">
            <v>8437</v>
          </cell>
          <cell r="H214">
            <v>29.52</v>
          </cell>
          <cell r="I214">
            <v>18.809999999999999</v>
          </cell>
          <cell r="J214">
            <v>7</v>
          </cell>
        </row>
        <row r="215">
          <cell r="C215" t="str">
            <v>North America</v>
          </cell>
          <cell r="F215" t="str">
            <v>Enterprise</v>
          </cell>
          <cell r="G215">
            <v>8258</v>
          </cell>
          <cell r="H215">
            <v>59.09</v>
          </cell>
          <cell r="I215">
            <v>35.04</v>
          </cell>
          <cell r="J215">
            <v>7.4</v>
          </cell>
        </row>
        <row r="216">
          <cell r="C216" t="str">
            <v>North America</v>
          </cell>
          <cell r="F216" t="str">
            <v>SMB</v>
          </cell>
          <cell r="G216">
            <v>1664</v>
          </cell>
          <cell r="H216">
            <v>2.86</v>
          </cell>
          <cell r="I216">
            <v>2.31</v>
          </cell>
          <cell r="J216">
            <v>6.2</v>
          </cell>
        </row>
        <row r="217">
          <cell r="C217" t="str">
            <v>North America</v>
          </cell>
          <cell r="F217" t="str">
            <v>SMB</v>
          </cell>
          <cell r="G217">
            <v>3732</v>
          </cell>
          <cell r="H217">
            <v>7.73</v>
          </cell>
          <cell r="I217">
            <v>5.18</v>
          </cell>
          <cell r="J217">
            <v>7.5</v>
          </cell>
        </row>
        <row r="218">
          <cell r="C218" t="str">
            <v>Europe</v>
          </cell>
          <cell r="F218" t="str">
            <v>Enterprise</v>
          </cell>
          <cell r="G218">
            <v>4629</v>
          </cell>
          <cell r="H218">
            <v>20.04</v>
          </cell>
          <cell r="I218">
            <v>14.14</v>
          </cell>
          <cell r="J218">
            <v>8.8000000000000007</v>
          </cell>
        </row>
        <row r="219">
          <cell r="C219" t="str">
            <v>Europe</v>
          </cell>
          <cell r="F219" t="str">
            <v>SMB</v>
          </cell>
          <cell r="G219">
            <v>1657</v>
          </cell>
          <cell r="H219">
            <v>7.78</v>
          </cell>
          <cell r="I219">
            <v>5.55</v>
          </cell>
          <cell r="J219">
            <v>7.1</v>
          </cell>
        </row>
        <row r="220">
          <cell r="C220" t="str">
            <v>Europe</v>
          </cell>
          <cell r="F220" t="str">
            <v>SMB</v>
          </cell>
          <cell r="G220">
            <v>3278</v>
          </cell>
          <cell r="H220">
            <v>19.420000000000002</v>
          </cell>
          <cell r="I220">
            <v>13.73</v>
          </cell>
          <cell r="J220">
            <v>7.2</v>
          </cell>
        </row>
        <row r="221">
          <cell r="C221" t="str">
            <v>Europe</v>
          </cell>
          <cell r="F221" t="str">
            <v>Enterprise</v>
          </cell>
          <cell r="G221">
            <v>6271</v>
          </cell>
          <cell r="H221">
            <v>48.49</v>
          </cell>
          <cell r="I221">
            <v>30.57</v>
          </cell>
          <cell r="J221">
            <v>8.1999999999999993</v>
          </cell>
        </row>
        <row r="222">
          <cell r="C222" t="str">
            <v>Europe</v>
          </cell>
          <cell r="F222" t="str">
            <v>SMB</v>
          </cell>
          <cell r="G222">
            <v>3682</v>
          </cell>
          <cell r="H222">
            <v>8.02</v>
          </cell>
          <cell r="I222">
            <v>6.7</v>
          </cell>
          <cell r="J222">
            <v>6.5</v>
          </cell>
        </row>
        <row r="223">
          <cell r="C223" t="str">
            <v>Europe</v>
          </cell>
          <cell r="F223" t="str">
            <v>SMB</v>
          </cell>
          <cell r="G223">
            <v>1343</v>
          </cell>
          <cell r="H223">
            <v>0.9</v>
          </cell>
          <cell r="I223">
            <v>0.59</v>
          </cell>
          <cell r="J223">
            <v>7.3</v>
          </cell>
        </row>
        <row r="224">
          <cell r="C224" t="str">
            <v>Asia Pacific</v>
          </cell>
          <cell r="F224" t="str">
            <v>Enterprise</v>
          </cell>
          <cell r="G224">
            <v>5392</v>
          </cell>
          <cell r="H224">
            <v>30.45</v>
          </cell>
          <cell r="I224">
            <v>23.72</v>
          </cell>
          <cell r="J224">
            <v>8</v>
          </cell>
        </row>
        <row r="225">
          <cell r="C225" t="str">
            <v>Asia Pacific</v>
          </cell>
          <cell r="F225" t="str">
            <v>SMB</v>
          </cell>
          <cell r="G225">
            <v>3572</v>
          </cell>
          <cell r="H225">
            <v>15.6</v>
          </cell>
          <cell r="I225">
            <v>9.11</v>
          </cell>
          <cell r="J225">
            <v>8.6</v>
          </cell>
        </row>
        <row r="226">
          <cell r="C226" t="str">
            <v>Asia Pacific</v>
          </cell>
          <cell r="F226" t="str">
            <v>Enterprise</v>
          </cell>
          <cell r="G226">
            <v>2690</v>
          </cell>
          <cell r="H226">
            <v>11.45</v>
          </cell>
          <cell r="I226">
            <v>9.15</v>
          </cell>
          <cell r="J226">
            <v>7</v>
          </cell>
        </row>
        <row r="227">
          <cell r="C227" t="str">
            <v>Asia Pacific</v>
          </cell>
          <cell r="F227" t="str">
            <v>SMB</v>
          </cell>
          <cell r="G227">
            <v>2291</v>
          </cell>
          <cell r="H227">
            <v>7.71</v>
          </cell>
          <cell r="I227">
            <v>4.25</v>
          </cell>
          <cell r="J227">
            <v>8.5</v>
          </cell>
        </row>
        <row r="228">
          <cell r="C228" t="str">
            <v>Asia Pacific</v>
          </cell>
          <cell r="F228" t="str">
            <v>SMB</v>
          </cell>
          <cell r="G228">
            <v>5589</v>
          </cell>
          <cell r="H228">
            <v>8.57</v>
          </cell>
          <cell r="I228">
            <v>5.48</v>
          </cell>
          <cell r="J228">
            <v>6.6</v>
          </cell>
        </row>
        <row r="229">
          <cell r="C229" t="str">
            <v>Asia Pacific</v>
          </cell>
          <cell r="F229" t="str">
            <v>Consumer</v>
          </cell>
          <cell r="G229">
            <v>6134</v>
          </cell>
          <cell r="H229">
            <v>8.6</v>
          </cell>
          <cell r="I229">
            <v>5.25</v>
          </cell>
          <cell r="J229">
            <v>6.5</v>
          </cell>
        </row>
        <row r="230">
          <cell r="C230" t="str">
            <v>Latin America</v>
          </cell>
          <cell r="F230" t="str">
            <v>SMB</v>
          </cell>
          <cell r="G230">
            <v>2978</v>
          </cell>
          <cell r="H230">
            <v>10.98</v>
          </cell>
          <cell r="I230">
            <v>7.86</v>
          </cell>
          <cell r="J230">
            <v>8.1</v>
          </cell>
        </row>
        <row r="231">
          <cell r="C231" t="str">
            <v>Latin America</v>
          </cell>
          <cell r="F231" t="str">
            <v>Enterprise</v>
          </cell>
          <cell r="G231">
            <v>924</v>
          </cell>
          <cell r="H231">
            <v>3.46</v>
          </cell>
          <cell r="I231">
            <v>2.4</v>
          </cell>
          <cell r="J231">
            <v>7.4</v>
          </cell>
        </row>
        <row r="232">
          <cell r="C232" t="str">
            <v>Latin America</v>
          </cell>
          <cell r="F232" t="str">
            <v>Enterprise</v>
          </cell>
          <cell r="G232">
            <v>4739</v>
          </cell>
          <cell r="H232">
            <v>29.14</v>
          </cell>
          <cell r="I232">
            <v>20.52</v>
          </cell>
          <cell r="J232">
            <v>7.2</v>
          </cell>
        </row>
        <row r="233">
          <cell r="C233" t="str">
            <v>Latin America</v>
          </cell>
          <cell r="F233" t="str">
            <v>Enterprise</v>
          </cell>
          <cell r="G233">
            <v>3878</v>
          </cell>
          <cell r="H233">
            <v>14.14</v>
          </cell>
          <cell r="I233">
            <v>10.75</v>
          </cell>
          <cell r="J233">
            <v>8.9</v>
          </cell>
        </row>
        <row r="234">
          <cell r="C234" t="str">
            <v>Latin America</v>
          </cell>
          <cell r="F234" t="str">
            <v>SMB</v>
          </cell>
          <cell r="G234">
            <v>1340</v>
          </cell>
          <cell r="H234">
            <v>1.6</v>
          </cell>
          <cell r="I234">
            <v>1.05</v>
          </cell>
          <cell r="J234">
            <v>9.3000000000000007</v>
          </cell>
        </row>
        <row r="235">
          <cell r="C235" t="str">
            <v>Latin America</v>
          </cell>
          <cell r="F235" t="str">
            <v>SMB</v>
          </cell>
          <cell r="G235">
            <v>4207</v>
          </cell>
          <cell r="H235">
            <v>4.33</v>
          </cell>
          <cell r="I235">
            <v>3.1</v>
          </cell>
          <cell r="J235">
            <v>6.4</v>
          </cell>
        </row>
        <row r="236">
          <cell r="C236" t="str">
            <v>Middle East &amp; Africa</v>
          </cell>
          <cell r="F236" t="str">
            <v>Enterprise</v>
          </cell>
          <cell r="G236">
            <v>2655</v>
          </cell>
          <cell r="H236">
            <v>10.72</v>
          </cell>
          <cell r="I236">
            <v>7.9</v>
          </cell>
          <cell r="J236">
            <v>8.8000000000000007</v>
          </cell>
        </row>
        <row r="237">
          <cell r="C237" t="str">
            <v>Middle East &amp; Africa</v>
          </cell>
          <cell r="F237" t="str">
            <v>SMB</v>
          </cell>
          <cell r="G237">
            <v>3547</v>
          </cell>
          <cell r="H237">
            <v>16.07</v>
          </cell>
          <cell r="I237">
            <v>8.98</v>
          </cell>
          <cell r="J237">
            <v>5.8</v>
          </cell>
        </row>
        <row r="238">
          <cell r="C238" t="str">
            <v>Middle East &amp; Africa</v>
          </cell>
          <cell r="F238" t="str">
            <v>Enterprise</v>
          </cell>
          <cell r="G238">
            <v>3278</v>
          </cell>
          <cell r="H238">
            <v>17.13</v>
          </cell>
          <cell r="I238">
            <v>11.12</v>
          </cell>
          <cell r="J238">
            <v>7.8</v>
          </cell>
        </row>
        <row r="239">
          <cell r="C239" t="str">
            <v>Middle East &amp; Africa</v>
          </cell>
          <cell r="F239" t="str">
            <v>SMB</v>
          </cell>
          <cell r="G239">
            <v>2833</v>
          </cell>
          <cell r="H239">
            <v>12.13</v>
          </cell>
          <cell r="I239">
            <v>9</v>
          </cell>
          <cell r="J239">
            <v>7</v>
          </cell>
        </row>
        <row r="240">
          <cell r="C240" t="str">
            <v>Middle East &amp; Africa</v>
          </cell>
          <cell r="F240" t="str">
            <v>Consumer</v>
          </cell>
          <cell r="G240">
            <v>1110</v>
          </cell>
          <cell r="H240">
            <v>1.47</v>
          </cell>
          <cell r="I240">
            <v>0.96</v>
          </cell>
          <cell r="J240">
            <v>6.1</v>
          </cell>
        </row>
        <row r="241">
          <cell r="C241" t="str">
            <v>Middle East &amp; Africa</v>
          </cell>
          <cell r="F241" t="str">
            <v>SMB</v>
          </cell>
          <cell r="G241">
            <v>3162</v>
          </cell>
          <cell r="H241">
            <v>7.69</v>
          </cell>
          <cell r="I241">
            <v>4.53</v>
          </cell>
          <cell r="J241">
            <v>6.9</v>
          </cell>
        </row>
      </sheetData>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Mohapatra" refreshedDate="46277.575280439814" createdVersion="8" refreshedVersion="8" minRefreshableVersion="3" recordCount="239" xr:uid="{B093E33F-7279-4865-B93D-74C8C4F4B3CA}">
  <cacheSource type="worksheet">
    <worksheetSource ref="A2:K241" sheet="Dataset"/>
  </cacheSource>
  <cacheFields count="11">
    <cacheField name="Record_ID" numFmtId="0">
      <sharedItems containsSemiMixedTypes="0" containsString="0" containsNumber="1" containsInteger="1" minValue="1001" maxValue="1240" count="239">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sharedItems>
    </cacheField>
    <cacheField name="Fiscal_Quarter" numFmtId="0">
      <sharedItems count="8">
        <s v="Q1 FY24"/>
        <s v="Q2 FY24"/>
        <s v="Q3 FY24"/>
        <s v="Q4 FY24"/>
        <s v="Q1 FY25"/>
        <s v="Q2 FY25"/>
        <s v="Q3 FY25"/>
        <s v="Q4 FY25"/>
      </sharedItems>
    </cacheField>
    <cacheField name="Region" numFmtId="0">
      <sharedItems count="5">
        <s v="North America"/>
        <s v="Europe"/>
        <s v="Asia Pacific"/>
        <s v="Latin America"/>
        <s v="Middle East &amp; Africa"/>
      </sharedItems>
    </cacheField>
    <cacheField name="Business_Segment" numFmtId="0">
      <sharedItems containsBlank="1" count="4">
        <s v="Productivity and Business Processes"/>
        <s v="Intelligent Cloud"/>
        <s v="More Personal Computing"/>
        <m u="1"/>
      </sharedItems>
    </cacheField>
    <cacheField name="Product_Line" numFmtId="0">
      <sharedItems count="9">
        <s v="LinkedIn"/>
        <s v="Office 365"/>
        <s v="Windows Server"/>
        <s v="Azure"/>
        <s v="Windows"/>
        <s v="Surface"/>
        <s v="GitHub"/>
        <s v="Xbox"/>
        <s v="Dynamics 365"/>
      </sharedItems>
    </cacheField>
    <cacheField name="Customer_Type" numFmtId="0">
      <sharedItems count="3">
        <s v="Enterprise"/>
        <s v="SMB"/>
        <s v="Consumer"/>
      </sharedItems>
    </cacheField>
    <cacheField name="Units_Sold" numFmtId="3">
      <sharedItems containsString="0" containsBlank="1" containsNumber="1" containsInteger="1" minValue="682" maxValue="9414"/>
    </cacheField>
    <cacheField name="Revenue_USD_Million" numFmtId="4">
      <sharedItems containsString="0" containsBlank="1" containsNumber="1" minValue="-2.97" maxValue="60.46"/>
    </cacheField>
    <cacheField name="Operating_Cost_USD_Million" numFmtId="4">
      <sharedItems containsString="0" containsBlank="1" containsNumber="1" minValue="-7.88" maxValue="39.24"/>
    </cacheField>
    <cacheField name="Customer_Satisfaction_Score" numFmtId="165">
      <sharedItems containsSemiMixedTypes="0" containsString="0" containsNumber="1" minValue="5.7" maxValue="9.5" count="39">
        <n v="8.6"/>
        <n v="8.1"/>
        <n v="8.8000000000000007"/>
        <n v="6.3"/>
        <n v="9.4"/>
        <n v="7.3"/>
        <n v="9"/>
        <n v="6.7"/>
        <n v="9.1999999999999993"/>
        <n v="6.1"/>
        <n v="6.9"/>
        <n v="7.8"/>
        <n v="8.4"/>
        <n v="8.6999999999999993"/>
        <n v="6"/>
        <n v="6.2"/>
        <n v="9.1"/>
        <n v="6.8"/>
        <n v="7.1"/>
        <n v="7.9"/>
        <n v="7.4"/>
        <n v="9.3000000000000007"/>
        <n v="8.3000000000000007"/>
        <n v="7"/>
        <n v="6.4"/>
        <n v="6.6"/>
        <n v="8.1999999999999993"/>
        <n v="7.5"/>
        <n v="7.6"/>
        <n v="7.7"/>
        <n v="8.9"/>
        <n v="7.2"/>
        <n v="6.5"/>
        <n v="5.7"/>
        <n v="5.9"/>
        <n v="8.5"/>
        <n v="9.5"/>
        <n v="8"/>
        <n v="5.8"/>
      </sharedItems>
    </cacheField>
    <cacheField name="Profit" numFmtId="4">
      <sharedItems containsSemiMixedTypes="0" containsString="0" containsNumber="1" minValue="-5.24" maxValue="24.050000000000004"/>
    </cacheField>
  </cacheFields>
  <extLst>
    <ext xmlns:x14="http://schemas.microsoft.com/office/spreadsheetml/2009/9/main" uri="{725AE2AE-9491-48be-B2B4-4EB974FC3084}">
      <x14:pivotCacheDefinition pivotCacheId="1341116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x v="0"/>
    <x v="0"/>
    <x v="0"/>
    <x v="0"/>
    <x v="0"/>
    <x v="0"/>
    <n v="6285"/>
    <n v="17.38"/>
    <n v="10.09"/>
    <x v="0"/>
    <n v="7.2899999999999991"/>
  </r>
  <r>
    <x v="1"/>
    <x v="0"/>
    <x v="0"/>
    <x v="0"/>
    <x v="1"/>
    <x v="0"/>
    <n v="5225"/>
    <n v="10.210000000000001"/>
    <n v="6.33"/>
    <x v="1"/>
    <n v="3.8800000000000008"/>
  </r>
  <r>
    <x v="2"/>
    <x v="0"/>
    <x v="0"/>
    <x v="1"/>
    <x v="2"/>
    <x v="1"/>
    <n v="2627"/>
    <n v="16.59"/>
    <n v="8.33"/>
    <x v="2"/>
    <n v="8.26"/>
  </r>
  <r>
    <x v="3"/>
    <x v="0"/>
    <x v="0"/>
    <x v="1"/>
    <x v="3"/>
    <x v="1"/>
    <n v="3468"/>
    <n v="14.3"/>
    <n v="8.59"/>
    <x v="3"/>
    <n v="5.7100000000000009"/>
  </r>
  <r>
    <x v="4"/>
    <x v="0"/>
    <x v="0"/>
    <x v="2"/>
    <x v="4"/>
    <x v="1"/>
    <n v="5318"/>
    <n v="11.76"/>
    <n v="8.36"/>
    <x v="4"/>
    <n v="3.4000000000000004"/>
  </r>
  <r>
    <x v="5"/>
    <x v="0"/>
    <x v="0"/>
    <x v="2"/>
    <x v="5"/>
    <x v="1"/>
    <n v="1633"/>
    <n v="1.82"/>
    <n v="1.48"/>
    <x v="5"/>
    <n v="0.34000000000000008"/>
  </r>
  <r>
    <x v="6"/>
    <x v="0"/>
    <x v="1"/>
    <x v="0"/>
    <x v="1"/>
    <x v="0"/>
    <n v="4662"/>
    <n v="26.04"/>
    <n v="21"/>
    <x v="6"/>
    <n v="5.0399999999999991"/>
  </r>
  <r>
    <x v="7"/>
    <x v="0"/>
    <x v="1"/>
    <x v="0"/>
    <x v="0"/>
    <x v="1"/>
    <n v="2470"/>
    <n v="10.92"/>
    <n v="7.22"/>
    <x v="7"/>
    <n v="3.7"/>
  </r>
  <r>
    <x v="8"/>
    <x v="0"/>
    <x v="1"/>
    <x v="1"/>
    <x v="6"/>
    <x v="0"/>
    <n v="3935"/>
    <n v="16.5"/>
    <n v="9.59"/>
    <x v="8"/>
    <n v="6.91"/>
  </r>
  <r>
    <x v="9"/>
    <x v="0"/>
    <x v="1"/>
    <x v="1"/>
    <x v="3"/>
    <x v="0"/>
    <n v="4795"/>
    <n v="36.5"/>
    <n v="20.76"/>
    <x v="9"/>
    <n v="15.739999999999998"/>
  </r>
  <r>
    <x v="10"/>
    <x v="0"/>
    <x v="1"/>
    <x v="2"/>
    <x v="5"/>
    <x v="1"/>
    <n v="1258"/>
    <n v="-2.97"/>
    <n v="2.27"/>
    <x v="7"/>
    <n v="-5.24"/>
  </r>
  <r>
    <x v="11"/>
    <x v="0"/>
    <x v="1"/>
    <x v="2"/>
    <x v="7"/>
    <x v="1"/>
    <m/>
    <n v="7.26"/>
    <n v="4.57"/>
    <x v="10"/>
    <n v="2.6899999999999995"/>
  </r>
  <r>
    <x v="12"/>
    <x v="0"/>
    <x v="2"/>
    <x v="0"/>
    <x v="0"/>
    <x v="1"/>
    <n v="5468"/>
    <n v="18.57"/>
    <n v="15.77"/>
    <x v="11"/>
    <n v="2.8000000000000007"/>
  </r>
  <r>
    <x v="13"/>
    <x v="0"/>
    <x v="2"/>
    <x v="0"/>
    <x v="8"/>
    <x v="0"/>
    <n v="4730"/>
    <n v="23.96"/>
    <m/>
    <x v="12"/>
    <n v="23.96"/>
  </r>
  <r>
    <x v="14"/>
    <x v="0"/>
    <x v="2"/>
    <x v="1"/>
    <x v="2"/>
    <x v="1"/>
    <n v="2784"/>
    <n v="22.35"/>
    <n v="17.690000000000001"/>
    <x v="6"/>
    <n v="4.66"/>
  </r>
  <r>
    <x v="15"/>
    <x v="0"/>
    <x v="2"/>
    <x v="1"/>
    <x v="3"/>
    <x v="0"/>
    <n v="4337"/>
    <n v="16.690000000000001"/>
    <n v="12.1"/>
    <x v="13"/>
    <n v="4.5900000000000016"/>
  </r>
  <r>
    <x v="16"/>
    <x v="0"/>
    <x v="2"/>
    <x v="2"/>
    <x v="5"/>
    <x v="1"/>
    <n v="3060"/>
    <n v="4.7"/>
    <n v="3.82"/>
    <x v="10"/>
    <n v="0.88000000000000034"/>
  </r>
  <r>
    <x v="17"/>
    <x v="0"/>
    <x v="2"/>
    <x v="2"/>
    <x v="4"/>
    <x v="2"/>
    <n v="3439"/>
    <n v="2.5099999999999998"/>
    <n v="2.0099999999999998"/>
    <x v="11"/>
    <n v="0.5"/>
  </r>
  <r>
    <x v="18"/>
    <x v="0"/>
    <x v="3"/>
    <x v="0"/>
    <x v="1"/>
    <x v="1"/>
    <n v="3097"/>
    <n v="13.59"/>
    <n v="9.64"/>
    <x v="14"/>
    <n v="3.9499999999999993"/>
  </r>
  <r>
    <x v="19"/>
    <x v="0"/>
    <x v="3"/>
    <x v="0"/>
    <x v="0"/>
    <x v="1"/>
    <n v="2171"/>
    <n v="5.17"/>
    <n v="4.37"/>
    <x v="2"/>
    <n v="0.79999999999999982"/>
  </r>
  <r>
    <x v="20"/>
    <x v="0"/>
    <x v="3"/>
    <x v="1"/>
    <x v="3"/>
    <x v="0"/>
    <n v="3487"/>
    <n v="24.74"/>
    <n v="15.98"/>
    <x v="15"/>
    <n v="8.759999999999998"/>
  </r>
  <r>
    <x v="21"/>
    <x v="0"/>
    <x v="3"/>
    <x v="1"/>
    <x v="2"/>
    <x v="0"/>
    <n v="953"/>
    <n v="5.17"/>
    <n v="3"/>
    <x v="16"/>
    <n v="2.17"/>
  </r>
  <r>
    <x v="22"/>
    <x v="0"/>
    <x v="3"/>
    <x v="2"/>
    <x v="5"/>
    <x v="2"/>
    <n v="2929"/>
    <n v="3.93"/>
    <n v="2.6"/>
    <x v="16"/>
    <n v="1.33"/>
  </r>
  <r>
    <x v="23"/>
    <x v="0"/>
    <x v="3"/>
    <x v="2"/>
    <x v="4"/>
    <x v="1"/>
    <n v="928"/>
    <n v="0.85"/>
    <n v="0.62"/>
    <x v="17"/>
    <n v="0.22999999999999998"/>
  </r>
  <r>
    <x v="24"/>
    <x v="0"/>
    <x v="4"/>
    <x v="0"/>
    <x v="1"/>
    <x v="0"/>
    <n v="2464"/>
    <n v="5.03"/>
    <n v="2.81"/>
    <x v="17"/>
    <n v="2.2200000000000002"/>
  </r>
  <r>
    <x v="25"/>
    <x v="0"/>
    <x v="4"/>
    <x v="0"/>
    <x v="0"/>
    <x v="0"/>
    <n v="1236"/>
    <n v="4.91"/>
    <n v="3.77"/>
    <x v="13"/>
    <n v="1.1400000000000001"/>
  </r>
  <r>
    <x v="26"/>
    <x v="0"/>
    <x v="4"/>
    <x v="1"/>
    <x v="2"/>
    <x v="0"/>
    <n v="2684"/>
    <n v="17.72"/>
    <n v="9.3800000000000008"/>
    <x v="18"/>
    <n v="8.3399999999999981"/>
  </r>
  <r>
    <x v="27"/>
    <x v="0"/>
    <x v="4"/>
    <x v="1"/>
    <x v="6"/>
    <x v="1"/>
    <n v="1615"/>
    <n v="10.77"/>
    <n v="-7.5"/>
    <x v="19"/>
    <n v="18.27"/>
  </r>
  <r>
    <x v="28"/>
    <x v="0"/>
    <x v="4"/>
    <x v="2"/>
    <x v="4"/>
    <x v="1"/>
    <n v="2729"/>
    <n v="1.84"/>
    <n v="1.31"/>
    <x v="9"/>
    <n v="0.53"/>
  </r>
  <r>
    <x v="29"/>
    <x v="0"/>
    <x v="4"/>
    <x v="2"/>
    <x v="5"/>
    <x v="2"/>
    <n v="1236"/>
    <n v="1.34"/>
    <n v="0.92"/>
    <x v="0"/>
    <n v="0.42000000000000004"/>
  </r>
  <r>
    <x v="30"/>
    <x v="1"/>
    <x v="0"/>
    <x v="0"/>
    <x v="0"/>
    <x v="0"/>
    <n v="5856"/>
    <n v="22.01"/>
    <n v="12.72"/>
    <x v="0"/>
    <n v="9.2900000000000009"/>
  </r>
  <r>
    <x v="31"/>
    <x v="1"/>
    <x v="0"/>
    <x v="0"/>
    <x v="1"/>
    <x v="0"/>
    <n v="2326"/>
    <n v="8.65"/>
    <n v="5.8"/>
    <x v="15"/>
    <n v="2.8500000000000005"/>
  </r>
  <r>
    <x v="32"/>
    <x v="1"/>
    <x v="0"/>
    <x v="1"/>
    <x v="6"/>
    <x v="1"/>
    <n v="3044"/>
    <n v="20.88"/>
    <n v="13.09"/>
    <x v="4"/>
    <n v="7.7899999999999991"/>
  </r>
  <r>
    <x v="33"/>
    <x v="1"/>
    <x v="0"/>
    <x v="1"/>
    <x v="3"/>
    <x v="1"/>
    <n v="2242"/>
    <n v="10.99"/>
    <n v="7.4"/>
    <x v="19"/>
    <n v="3.59"/>
  </r>
  <r>
    <x v="34"/>
    <x v="1"/>
    <x v="0"/>
    <x v="2"/>
    <x v="7"/>
    <x v="2"/>
    <n v="1482"/>
    <n v="2.33"/>
    <n v="1.65"/>
    <x v="15"/>
    <n v="0.68000000000000016"/>
  </r>
  <r>
    <x v="35"/>
    <x v="1"/>
    <x v="0"/>
    <x v="2"/>
    <x v="5"/>
    <x v="2"/>
    <n v="7303"/>
    <m/>
    <n v="3.44"/>
    <x v="20"/>
    <n v="-3.44"/>
  </r>
  <r>
    <x v="36"/>
    <x v="1"/>
    <x v="1"/>
    <x v="0"/>
    <x v="0"/>
    <x v="0"/>
    <n v="4577"/>
    <n v="17.11"/>
    <n v="12.09"/>
    <x v="21"/>
    <n v="5.0199999999999996"/>
  </r>
  <r>
    <x v="37"/>
    <x v="1"/>
    <x v="1"/>
    <x v="0"/>
    <x v="1"/>
    <x v="0"/>
    <n v="4875"/>
    <n v="15.13"/>
    <n v="8.92"/>
    <x v="22"/>
    <n v="6.2100000000000009"/>
  </r>
  <r>
    <x v="38"/>
    <x v="1"/>
    <x v="1"/>
    <x v="1"/>
    <x v="2"/>
    <x v="1"/>
    <n v="1694"/>
    <n v="7.34"/>
    <n v="4.21"/>
    <x v="23"/>
    <n v="3.13"/>
  </r>
  <r>
    <x v="39"/>
    <x v="1"/>
    <x v="1"/>
    <x v="2"/>
    <x v="5"/>
    <x v="2"/>
    <n v="4864"/>
    <n v="8.5"/>
    <n v="4.9400000000000004"/>
    <x v="16"/>
    <n v="3.5599999999999996"/>
  </r>
  <r>
    <x v="40"/>
    <x v="1"/>
    <x v="1"/>
    <x v="2"/>
    <x v="7"/>
    <x v="1"/>
    <n v="1594"/>
    <n v="1.1499999999999999"/>
    <n v="0.73"/>
    <x v="1"/>
    <n v="0.41999999999999993"/>
  </r>
  <r>
    <x v="41"/>
    <x v="1"/>
    <x v="2"/>
    <x v="0"/>
    <x v="0"/>
    <x v="0"/>
    <n v="4528"/>
    <n v="24.53"/>
    <n v="15.34"/>
    <x v="8"/>
    <n v="9.1900000000000013"/>
  </r>
  <r>
    <x v="42"/>
    <x v="1"/>
    <x v="2"/>
    <x v="0"/>
    <x v="8"/>
    <x v="0"/>
    <n v="1324"/>
    <n v="4.67"/>
    <n v="2.57"/>
    <x v="13"/>
    <n v="2.1"/>
  </r>
  <r>
    <x v="43"/>
    <x v="1"/>
    <x v="2"/>
    <x v="1"/>
    <x v="2"/>
    <x v="0"/>
    <n v="4817"/>
    <n v="27.34"/>
    <n v="13.75"/>
    <x v="3"/>
    <n v="13.59"/>
  </r>
  <r>
    <x v="44"/>
    <x v="1"/>
    <x v="2"/>
    <x v="1"/>
    <x v="6"/>
    <x v="0"/>
    <n v="3764"/>
    <n v="27.44"/>
    <n v="14.94"/>
    <x v="24"/>
    <n v="12.500000000000002"/>
  </r>
  <r>
    <x v="45"/>
    <x v="1"/>
    <x v="2"/>
    <x v="2"/>
    <x v="5"/>
    <x v="2"/>
    <n v="5666"/>
    <n v="4.95"/>
    <n v="2.88"/>
    <x v="13"/>
    <n v="2.0700000000000003"/>
  </r>
  <r>
    <x v="46"/>
    <x v="1"/>
    <x v="2"/>
    <x v="2"/>
    <x v="7"/>
    <x v="1"/>
    <n v="6069"/>
    <n v="13.16"/>
    <n v="8.17"/>
    <x v="25"/>
    <n v="4.99"/>
  </r>
  <r>
    <x v="47"/>
    <x v="1"/>
    <x v="3"/>
    <x v="0"/>
    <x v="1"/>
    <x v="0"/>
    <n v="1165"/>
    <n v="7.01"/>
    <n v="4.72"/>
    <x v="22"/>
    <n v="2.29"/>
  </r>
  <r>
    <x v="48"/>
    <x v="1"/>
    <x v="3"/>
    <x v="0"/>
    <x v="8"/>
    <x v="0"/>
    <n v="1471"/>
    <n v="6.98"/>
    <n v="5.67"/>
    <x v="6"/>
    <n v="1.3100000000000005"/>
  </r>
  <r>
    <x v="49"/>
    <x v="1"/>
    <x v="3"/>
    <x v="1"/>
    <x v="3"/>
    <x v="1"/>
    <n v="1761"/>
    <n v="13.44"/>
    <n v="7.62"/>
    <x v="22"/>
    <n v="5.8199999999999994"/>
  </r>
  <r>
    <x v="50"/>
    <x v="1"/>
    <x v="3"/>
    <x v="1"/>
    <x v="2"/>
    <x v="1"/>
    <n v="1686"/>
    <n v="13.5"/>
    <n v="-7.88"/>
    <x v="26"/>
    <n v="21.38"/>
  </r>
  <r>
    <x v="51"/>
    <x v="1"/>
    <x v="3"/>
    <x v="2"/>
    <x v="5"/>
    <x v="2"/>
    <n v="941"/>
    <n v="2.15"/>
    <n v="1.8"/>
    <x v="10"/>
    <n v="0.34999999999999987"/>
  </r>
  <r>
    <x v="52"/>
    <x v="1"/>
    <x v="3"/>
    <x v="2"/>
    <x v="7"/>
    <x v="2"/>
    <n v="2625"/>
    <n v="3.31"/>
    <n v="2.25"/>
    <x v="4"/>
    <n v="1.06"/>
  </r>
  <r>
    <x v="53"/>
    <x v="1"/>
    <x v="4"/>
    <x v="0"/>
    <x v="1"/>
    <x v="0"/>
    <n v="1209"/>
    <n v="5.26"/>
    <n v="4.3499999999999996"/>
    <x v="27"/>
    <n v="0.91000000000000014"/>
  </r>
  <r>
    <x v="54"/>
    <x v="1"/>
    <x v="4"/>
    <x v="0"/>
    <x v="8"/>
    <x v="0"/>
    <n v="1533"/>
    <n v="3.61"/>
    <n v="2.34"/>
    <x v="7"/>
    <n v="1.27"/>
  </r>
  <r>
    <x v="55"/>
    <x v="1"/>
    <x v="4"/>
    <x v="1"/>
    <x v="3"/>
    <x v="1"/>
    <n v="2429"/>
    <n v="11.69"/>
    <n v="7.79"/>
    <x v="3"/>
    <n v="3.8999999999999995"/>
  </r>
  <r>
    <x v="56"/>
    <x v="1"/>
    <x v="4"/>
    <x v="1"/>
    <x v="6"/>
    <x v="1"/>
    <n v="2460"/>
    <n v="18.91"/>
    <n v="11.16"/>
    <x v="27"/>
    <n v="7.75"/>
  </r>
  <r>
    <x v="57"/>
    <x v="1"/>
    <x v="4"/>
    <x v="2"/>
    <x v="4"/>
    <x v="1"/>
    <n v="1077"/>
    <n v="2.2799999999999998"/>
    <n v="1.47"/>
    <x v="18"/>
    <n v="0.80999999999999983"/>
  </r>
  <r>
    <x v="58"/>
    <x v="1"/>
    <x v="4"/>
    <x v="2"/>
    <x v="5"/>
    <x v="2"/>
    <n v="1968"/>
    <n v="4.49"/>
    <n v="3.46"/>
    <x v="19"/>
    <n v="1.0300000000000002"/>
  </r>
  <r>
    <x v="59"/>
    <x v="2"/>
    <x v="0"/>
    <x v="0"/>
    <x v="8"/>
    <x v="0"/>
    <n v="7303"/>
    <n v="37.81"/>
    <n v="23.34"/>
    <x v="7"/>
    <n v="14.470000000000002"/>
  </r>
  <r>
    <x v="60"/>
    <x v="2"/>
    <x v="0"/>
    <x v="0"/>
    <x v="0"/>
    <x v="0"/>
    <n v="1502"/>
    <n v="9.11"/>
    <n v="7.11"/>
    <x v="28"/>
    <n v="1.9999999999999991"/>
  </r>
  <r>
    <x v="61"/>
    <x v="2"/>
    <x v="0"/>
    <x v="1"/>
    <x v="2"/>
    <x v="1"/>
    <n v="4869"/>
    <n v="21.19"/>
    <n v="10.63"/>
    <x v="0"/>
    <n v="10.56"/>
  </r>
  <r>
    <x v="62"/>
    <x v="2"/>
    <x v="0"/>
    <x v="1"/>
    <x v="3"/>
    <x v="0"/>
    <n v="7002"/>
    <n v="30.41"/>
    <n v="21.55"/>
    <x v="28"/>
    <n v="8.86"/>
  </r>
  <r>
    <x v="63"/>
    <x v="2"/>
    <x v="0"/>
    <x v="2"/>
    <x v="7"/>
    <x v="2"/>
    <n v="4584"/>
    <n v="9.9600000000000009"/>
    <n v="8.43"/>
    <x v="1"/>
    <n v="1.5300000000000011"/>
  </r>
  <r>
    <x v="64"/>
    <x v="2"/>
    <x v="0"/>
    <x v="2"/>
    <x v="4"/>
    <x v="1"/>
    <n v="5757"/>
    <n v="11.17"/>
    <n v="8.93"/>
    <x v="19"/>
    <n v="2.2400000000000002"/>
  </r>
  <r>
    <x v="65"/>
    <x v="2"/>
    <x v="1"/>
    <x v="0"/>
    <x v="1"/>
    <x v="1"/>
    <n v="2527"/>
    <n v="7.76"/>
    <n v="6.05"/>
    <x v="11"/>
    <n v="1.71"/>
  </r>
  <r>
    <x v="66"/>
    <x v="2"/>
    <x v="1"/>
    <x v="0"/>
    <x v="8"/>
    <x v="0"/>
    <n v="2622"/>
    <n v="5.8"/>
    <n v="3.66"/>
    <x v="18"/>
    <n v="2.1399999999999997"/>
  </r>
  <r>
    <x v="67"/>
    <x v="2"/>
    <x v="1"/>
    <x v="1"/>
    <x v="2"/>
    <x v="0"/>
    <n v="1864"/>
    <n v="8.5299999999999994"/>
    <n v="4.8099999999999996"/>
    <x v="27"/>
    <n v="3.7199999999999998"/>
  </r>
  <r>
    <x v="68"/>
    <x v="2"/>
    <x v="1"/>
    <x v="1"/>
    <x v="3"/>
    <x v="1"/>
    <n v="4262"/>
    <n v="20.38"/>
    <n v="12.76"/>
    <x v="8"/>
    <n v="7.6199999999999992"/>
  </r>
  <r>
    <x v="69"/>
    <x v="2"/>
    <x v="1"/>
    <x v="2"/>
    <x v="7"/>
    <x v="1"/>
    <n v="3860"/>
    <n v="8.84"/>
    <n v="5.9"/>
    <x v="16"/>
    <n v="2.9399999999999995"/>
  </r>
  <r>
    <x v="70"/>
    <x v="2"/>
    <x v="1"/>
    <x v="2"/>
    <x v="4"/>
    <x v="1"/>
    <n v="4235"/>
    <n v="8.84"/>
    <n v="7.24"/>
    <x v="29"/>
    <n v="1.5999999999999996"/>
  </r>
  <r>
    <x v="71"/>
    <x v="2"/>
    <x v="2"/>
    <x v="0"/>
    <x v="8"/>
    <x v="1"/>
    <n v="1017"/>
    <n v="3.52"/>
    <n v="2.36"/>
    <x v="25"/>
    <n v="1.1600000000000001"/>
  </r>
  <r>
    <x v="72"/>
    <x v="2"/>
    <x v="2"/>
    <x v="0"/>
    <x v="0"/>
    <x v="1"/>
    <n v="5972"/>
    <n v="35.61"/>
    <n v="29.27"/>
    <x v="1"/>
    <n v="6.34"/>
  </r>
  <r>
    <x v="73"/>
    <x v="2"/>
    <x v="2"/>
    <x v="1"/>
    <x v="2"/>
    <x v="0"/>
    <n v="4432"/>
    <n v="16.18"/>
    <n v="8.33"/>
    <x v="5"/>
    <n v="7.85"/>
  </r>
  <r>
    <x v="74"/>
    <x v="2"/>
    <x v="2"/>
    <x v="1"/>
    <x v="3"/>
    <x v="0"/>
    <n v="3385"/>
    <n v="17.07"/>
    <n v="9.9600000000000009"/>
    <x v="21"/>
    <n v="7.1099999999999994"/>
  </r>
  <r>
    <x v="75"/>
    <x v="2"/>
    <x v="2"/>
    <x v="2"/>
    <x v="5"/>
    <x v="2"/>
    <n v="3472"/>
    <n v="6.32"/>
    <n v="5.28"/>
    <x v="17"/>
    <n v="1.04"/>
  </r>
  <r>
    <x v="76"/>
    <x v="2"/>
    <x v="2"/>
    <x v="2"/>
    <x v="7"/>
    <x v="2"/>
    <n v="5202"/>
    <n v="9.86"/>
    <n v="8.23"/>
    <x v="7"/>
    <n v="1.629999999999999"/>
  </r>
  <r>
    <x v="77"/>
    <x v="2"/>
    <x v="3"/>
    <x v="0"/>
    <x v="1"/>
    <x v="0"/>
    <n v="1012"/>
    <n v="4.79"/>
    <n v="2.95"/>
    <x v="12"/>
    <n v="1.8399999999999999"/>
  </r>
  <r>
    <x v="78"/>
    <x v="2"/>
    <x v="3"/>
    <x v="0"/>
    <x v="0"/>
    <x v="1"/>
    <n v="1163"/>
    <n v="5.41"/>
    <n v="3.16"/>
    <x v="30"/>
    <n v="2.25"/>
  </r>
  <r>
    <x v="79"/>
    <x v="2"/>
    <x v="3"/>
    <x v="1"/>
    <x v="6"/>
    <x v="0"/>
    <n v="3915"/>
    <n v="24.89"/>
    <n v="15.25"/>
    <x v="21"/>
    <n v="9.64"/>
  </r>
  <r>
    <x v="80"/>
    <x v="2"/>
    <x v="3"/>
    <x v="1"/>
    <x v="3"/>
    <x v="0"/>
    <n v="831"/>
    <n v="5.5"/>
    <n v="2.92"/>
    <x v="13"/>
    <n v="2.58"/>
  </r>
  <r>
    <x v="81"/>
    <x v="2"/>
    <x v="3"/>
    <x v="2"/>
    <x v="7"/>
    <x v="2"/>
    <n v="1812"/>
    <n v="2.39"/>
    <n v="1.68"/>
    <x v="31"/>
    <n v="0.71000000000000019"/>
  </r>
  <r>
    <x v="82"/>
    <x v="2"/>
    <x v="3"/>
    <x v="2"/>
    <x v="4"/>
    <x v="1"/>
    <n v="3530"/>
    <n v="2.74"/>
    <n v="2.0299999999999998"/>
    <x v="30"/>
    <n v="0.71000000000000041"/>
  </r>
  <r>
    <x v="83"/>
    <x v="2"/>
    <x v="4"/>
    <x v="0"/>
    <x v="0"/>
    <x v="1"/>
    <n v="1009"/>
    <n v="4.25"/>
    <n v="3.12"/>
    <x v="2"/>
    <n v="1.1299999999999999"/>
  </r>
  <r>
    <x v="84"/>
    <x v="2"/>
    <x v="4"/>
    <x v="0"/>
    <x v="1"/>
    <x v="1"/>
    <n v="1893"/>
    <n v="10.220000000000001"/>
    <n v="6.61"/>
    <x v="32"/>
    <n v="3.6100000000000003"/>
  </r>
  <r>
    <x v="85"/>
    <x v="2"/>
    <x v="4"/>
    <x v="1"/>
    <x v="3"/>
    <x v="1"/>
    <n v="1217"/>
    <n v="6.62"/>
    <n v="4.0599999999999996"/>
    <x v="33"/>
    <n v="2.5600000000000005"/>
  </r>
  <r>
    <x v="86"/>
    <x v="2"/>
    <x v="4"/>
    <x v="1"/>
    <x v="6"/>
    <x v="1"/>
    <n v="1027"/>
    <n v="4.42"/>
    <n v="2.66"/>
    <x v="13"/>
    <n v="1.7599999999999998"/>
  </r>
  <r>
    <x v="87"/>
    <x v="2"/>
    <x v="4"/>
    <x v="2"/>
    <x v="7"/>
    <x v="2"/>
    <n v="2051"/>
    <n v="1.72"/>
    <n v="1.1599999999999999"/>
    <x v="27"/>
    <n v="0.56000000000000005"/>
  </r>
  <r>
    <x v="88"/>
    <x v="2"/>
    <x v="4"/>
    <x v="2"/>
    <x v="5"/>
    <x v="2"/>
    <n v="2584"/>
    <n v="4.62"/>
    <n v="3.64"/>
    <x v="34"/>
    <n v="0.98"/>
  </r>
  <r>
    <x v="89"/>
    <x v="3"/>
    <x v="0"/>
    <x v="0"/>
    <x v="1"/>
    <x v="0"/>
    <n v="3568"/>
    <n v="15.35"/>
    <n v="10.89"/>
    <x v="27"/>
    <n v="4.4599999999999991"/>
  </r>
  <r>
    <x v="90"/>
    <x v="3"/>
    <x v="0"/>
    <x v="0"/>
    <x v="8"/>
    <x v="1"/>
    <n v="3922"/>
    <n v="14.38"/>
    <n v="8.9"/>
    <x v="35"/>
    <n v="5.48"/>
  </r>
  <r>
    <x v="91"/>
    <x v="3"/>
    <x v="0"/>
    <x v="1"/>
    <x v="6"/>
    <x v="0"/>
    <n v="2679"/>
    <n v="17.13"/>
    <n v="11.59"/>
    <x v="13"/>
    <n v="5.5399999999999991"/>
  </r>
  <r>
    <x v="92"/>
    <x v="3"/>
    <x v="0"/>
    <x v="1"/>
    <x v="3"/>
    <x v="1"/>
    <n v="8799"/>
    <n v="60.46"/>
    <n v="36.78"/>
    <x v="18"/>
    <n v="23.68"/>
  </r>
  <r>
    <x v="93"/>
    <x v="3"/>
    <x v="0"/>
    <x v="2"/>
    <x v="7"/>
    <x v="1"/>
    <n v="1546"/>
    <n v="0.9"/>
    <n v="0.75"/>
    <x v="26"/>
    <n v="0.15000000000000002"/>
  </r>
  <r>
    <x v="94"/>
    <x v="3"/>
    <x v="0"/>
    <x v="2"/>
    <x v="4"/>
    <x v="1"/>
    <n v="1989"/>
    <n v="1"/>
    <n v="0.69"/>
    <x v="31"/>
    <n v="0.31000000000000005"/>
  </r>
  <r>
    <x v="95"/>
    <x v="3"/>
    <x v="1"/>
    <x v="0"/>
    <x v="1"/>
    <x v="1"/>
    <n v="1693"/>
    <n v="3.82"/>
    <n v="2.76"/>
    <x v="12"/>
    <n v="1.06"/>
  </r>
  <r>
    <x v="96"/>
    <x v="3"/>
    <x v="1"/>
    <x v="0"/>
    <x v="8"/>
    <x v="0"/>
    <n v="1915"/>
    <n v="7.82"/>
    <n v="6.63"/>
    <x v="24"/>
    <n v="1.1900000000000004"/>
  </r>
  <r>
    <x v="97"/>
    <x v="3"/>
    <x v="1"/>
    <x v="1"/>
    <x v="6"/>
    <x v="1"/>
    <n v="3819"/>
    <n v="21.34"/>
    <n v="17.010000000000002"/>
    <x v="18"/>
    <n v="4.3299999999999983"/>
  </r>
  <r>
    <x v="98"/>
    <x v="3"/>
    <x v="1"/>
    <x v="1"/>
    <x v="3"/>
    <x v="0"/>
    <n v="4825"/>
    <n v="35.22"/>
    <n v="19.809999999999999"/>
    <x v="7"/>
    <n v="15.41"/>
  </r>
  <r>
    <x v="99"/>
    <x v="3"/>
    <x v="1"/>
    <x v="2"/>
    <x v="7"/>
    <x v="2"/>
    <n v="2488"/>
    <n v="3.72"/>
    <n v="2.5"/>
    <x v="12"/>
    <n v="1.2200000000000002"/>
  </r>
  <r>
    <x v="100"/>
    <x v="3"/>
    <x v="1"/>
    <x v="2"/>
    <x v="4"/>
    <x v="1"/>
    <n v="2813"/>
    <n v="2.82"/>
    <n v="2.15"/>
    <x v="28"/>
    <n v="0.66999999999999993"/>
  </r>
  <r>
    <x v="101"/>
    <x v="3"/>
    <x v="2"/>
    <x v="0"/>
    <x v="0"/>
    <x v="1"/>
    <n v="5410"/>
    <n v="25.13"/>
    <n v="20.86"/>
    <x v="27"/>
    <n v="4.2699999999999996"/>
  </r>
  <r>
    <x v="102"/>
    <x v="3"/>
    <x v="2"/>
    <x v="0"/>
    <x v="1"/>
    <x v="0"/>
    <n v="4605"/>
    <n v="27.64"/>
    <n v="15.79"/>
    <x v="25"/>
    <n v="11.850000000000001"/>
  </r>
  <r>
    <x v="103"/>
    <x v="3"/>
    <x v="2"/>
    <x v="1"/>
    <x v="6"/>
    <x v="1"/>
    <n v="1598"/>
    <n v="10.71"/>
    <n v="8.3800000000000008"/>
    <x v="11"/>
    <n v="2.33"/>
  </r>
  <r>
    <x v="104"/>
    <x v="3"/>
    <x v="2"/>
    <x v="1"/>
    <x v="2"/>
    <x v="1"/>
    <n v="3399"/>
    <n v="21.95"/>
    <n v="15.81"/>
    <x v="1"/>
    <n v="6.1399999999999988"/>
  </r>
  <r>
    <x v="105"/>
    <x v="3"/>
    <x v="2"/>
    <x v="2"/>
    <x v="4"/>
    <x v="2"/>
    <n v="6411"/>
    <n v="14.13"/>
    <n v="11.8"/>
    <x v="36"/>
    <n v="2.33"/>
  </r>
  <r>
    <x v="106"/>
    <x v="3"/>
    <x v="2"/>
    <x v="2"/>
    <x v="7"/>
    <x v="1"/>
    <n v="4195"/>
    <n v="7.95"/>
    <n v="5.61"/>
    <x v="27"/>
    <n v="2.34"/>
  </r>
  <r>
    <x v="107"/>
    <x v="3"/>
    <x v="3"/>
    <x v="0"/>
    <x v="8"/>
    <x v="1"/>
    <n v="2945"/>
    <n v="10.73"/>
    <n v="7.02"/>
    <x v="31"/>
    <n v="3.7100000000000009"/>
  </r>
  <r>
    <x v="108"/>
    <x v="3"/>
    <x v="3"/>
    <x v="0"/>
    <x v="1"/>
    <x v="0"/>
    <n v="3778"/>
    <n v="13.03"/>
    <n v="8.2899999999999991"/>
    <x v="21"/>
    <n v="4.74"/>
  </r>
  <r>
    <x v="109"/>
    <x v="3"/>
    <x v="3"/>
    <x v="1"/>
    <x v="2"/>
    <x v="1"/>
    <n v="903"/>
    <n v="3.55"/>
    <n v="2.6"/>
    <x v="6"/>
    <n v="0.94999999999999973"/>
  </r>
  <r>
    <x v="110"/>
    <x v="3"/>
    <x v="3"/>
    <x v="1"/>
    <x v="3"/>
    <x v="0"/>
    <n v="3030"/>
    <n v="17.010000000000002"/>
    <n v="9.4600000000000009"/>
    <x v="5"/>
    <n v="7.5500000000000007"/>
  </r>
  <r>
    <x v="111"/>
    <x v="3"/>
    <x v="3"/>
    <x v="2"/>
    <x v="5"/>
    <x v="2"/>
    <n v="1334"/>
    <n v="2.31"/>
    <n v="1.57"/>
    <x v="12"/>
    <n v="0.74"/>
  </r>
  <r>
    <x v="112"/>
    <x v="3"/>
    <x v="3"/>
    <x v="2"/>
    <x v="7"/>
    <x v="2"/>
    <n v="682"/>
    <n v="1.27"/>
    <n v="0.97"/>
    <x v="18"/>
    <n v="0.30000000000000004"/>
  </r>
  <r>
    <x v="113"/>
    <x v="3"/>
    <x v="4"/>
    <x v="0"/>
    <x v="1"/>
    <x v="0"/>
    <n v="1196"/>
    <n v="5.92"/>
    <n v="4.9400000000000004"/>
    <x v="19"/>
    <n v="0.97999999999999954"/>
  </r>
  <r>
    <x v="114"/>
    <x v="3"/>
    <x v="4"/>
    <x v="0"/>
    <x v="8"/>
    <x v="0"/>
    <n v="2061"/>
    <n v="10.050000000000001"/>
    <n v="6.35"/>
    <x v="35"/>
    <n v="3.7000000000000011"/>
  </r>
  <r>
    <x v="115"/>
    <x v="3"/>
    <x v="4"/>
    <x v="1"/>
    <x v="6"/>
    <x v="1"/>
    <n v="2228"/>
    <n v="11.88"/>
    <n v="7.75"/>
    <x v="13"/>
    <n v="4.1300000000000008"/>
  </r>
  <r>
    <x v="116"/>
    <x v="3"/>
    <x v="4"/>
    <x v="1"/>
    <x v="3"/>
    <x v="0"/>
    <n v="1359"/>
    <n v="9.2799999999999994"/>
    <n v="7.24"/>
    <x v="20"/>
    <n v="2.0399999999999991"/>
  </r>
  <r>
    <x v="117"/>
    <x v="3"/>
    <x v="4"/>
    <x v="2"/>
    <x v="4"/>
    <x v="1"/>
    <n v="3132"/>
    <n v="5.36"/>
    <n v="4.34"/>
    <x v="31"/>
    <n v="1.0200000000000005"/>
  </r>
  <r>
    <x v="118"/>
    <x v="3"/>
    <x v="4"/>
    <x v="2"/>
    <x v="5"/>
    <x v="1"/>
    <n v="1576"/>
    <n v="2.5499999999999998"/>
    <n v="1.75"/>
    <x v="7"/>
    <n v="0.79999999999999982"/>
  </r>
  <r>
    <x v="119"/>
    <x v="4"/>
    <x v="0"/>
    <x v="0"/>
    <x v="1"/>
    <x v="1"/>
    <n v="3100"/>
    <n v="14.37"/>
    <n v="11.11"/>
    <x v="35"/>
    <n v="3.26"/>
  </r>
  <r>
    <x v="120"/>
    <x v="4"/>
    <x v="0"/>
    <x v="0"/>
    <x v="0"/>
    <x v="1"/>
    <n v="4320"/>
    <n v="21.4"/>
    <n v="18.07"/>
    <x v="29"/>
    <n v="3.3299999999999983"/>
  </r>
  <r>
    <x v="121"/>
    <x v="4"/>
    <x v="0"/>
    <x v="1"/>
    <x v="3"/>
    <x v="1"/>
    <n v="8191"/>
    <n v="59.65"/>
    <n v="39.24"/>
    <x v="28"/>
    <n v="20.409999999999997"/>
  </r>
  <r>
    <x v="122"/>
    <x v="4"/>
    <x v="0"/>
    <x v="1"/>
    <x v="2"/>
    <x v="0"/>
    <n v="4512"/>
    <n v="26.35"/>
    <n v="16.89"/>
    <x v="4"/>
    <n v="9.4600000000000009"/>
  </r>
  <r>
    <x v="123"/>
    <x v="4"/>
    <x v="0"/>
    <x v="2"/>
    <x v="5"/>
    <x v="2"/>
    <n v="8047"/>
    <n v="19.02"/>
    <n v="12.63"/>
    <x v="18"/>
    <n v="6.3899999999999988"/>
  </r>
  <r>
    <x v="124"/>
    <x v="4"/>
    <x v="0"/>
    <x v="2"/>
    <x v="7"/>
    <x v="1"/>
    <n v="8212"/>
    <n v="4.29"/>
    <n v="3.17"/>
    <x v="8"/>
    <n v="1.1200000000000001"/>
  </r>
  <r>
    <x v="125"/>
    <x v="4"/>
    <x v="1"/>
    <x v="0"/>
    <x v="1"/>
    <x v="1"/>
    <n v="7382"/>
    <n v="38.729999999999997"/>
    <n v="22.47"/>
    <x v="25"/>
    <n v="16.259999999999998"/>
  </r>
  <r>
    <x v="126"/>
    <x v="4"/>
    <x v="1"/>
    <x v="0"/>
    <x v="0"/>
    <x v="1"/>
    <n v="6894"/>
    <n v="15.95"/>
    <n v="10.18"/>
    <x v="5"/>
    <n v="5.77"/>
  </r>
  <r>
    <x v="127"/>
    <x v="4"/>
    <x v="1"/>
    <x v="1"/>
    <x v="3"/>
    <x v="1"/>
    <n v="4693"/>
    <n v="30.52"/>
    <n v="15.98"/>
    <x v="6"/>
    <n v="14.54"/>
  </r>
  <r>
    <x v="128"/>
    <x v="4"/>
    <x v="1"/>
    <x v="1"/>
    <x v="2"/>
    <x v="0"/>
    <n v="4248"/>
    <n v="23.78"/>
    <n v="16.440000000000001"/>
    <x v="28"/>
    <n v="7.34"/>
  </r>
  <r>
    <x v="129"/>
    <x v="4"/>
    <x v="1"/>
    <x v="2"/>
    <x v="7"/>
    <x v="1"/>
    <n v="6879"/>
    <n v="11.89"/>
    <n v="8.1199999999999992"/>
    <x v="31"/>
    <n v="3.7700000000000014"/>
  </r>
  <r>
    <x v="130"/>
    <x v="4"/>
    <x v="1"/>
    <x v="2"/>
    <x v="4"/>
    <x v="1"/>
    <n v="5169"/>
    <n v="6.62"/>
    <n v="5.32"/>
    <x v="7"/>
    <n v="1.2999999999999998"/>
  </r>
  <r>
    <x v="131"/>
    <x v="4"/>
    <x v="2"/>
    <x v="0"/>
    <x v="8"/>
    <x v="0"/>
    <n v="2318"/>
    <n v="10.09"/>
    <n v="8.5500000000000007"/>
    <x v="23"/>
    <n v="1.5399999999999991"/>
  </r>
  <r>
    <x v="132"/>
    <x v="4"/>
    <x v="2"/>
    <x v="0"/>
    <x v="0"/>
    <x v="1"/>
    <n v="2539"/>
    <n v="11.23"/>
    <n v="8.69"/>
    <x v="15"/>
    <n v="2.5400000000000009"/>
  </r>
  <r>
    <x v="133"/>
    <x v="4"/>
    <x v="2"/>
    <x v="1"/>
    <x v="2"/>
    <x v="1"/>
    <n v="5510"/>
    <n v="24.25"/>
    <n v="13.72"/>
    <x v="7"/>
    <n v="10.53"/>
  </r>
  <r>
    <x v="134"/>
    <x v="4"/>
    <x v="2"/>
    <x v="1"/>
    <x v="6"/>
    <x v="1"/>
    <n v="4929"/>
    <n v="33.590000000000003"/>
    <n v="25.24"/>
    <x v="26"/>
    <n v="8.350000000000005"/>
  </r>
  <r>
    <x v="135"/>
    <x v="4"/>
    <x v="2"/>
    <x v="2"/>
    <x v="7"/>
    <x v="1"/>
    <n v="5586"/>
    <n v="3.08"/>
    <n v="1.82"/>
    <x v="8"/>
    <n v="1.26"/>
  </r>
  <r>
    <x v="136"/>
    <x v="4"/>
    <x v="2"/>
    <x v="2"/>
    <x v="4"/>
    <x v="1"/>
    <n v="5343"/>
    <n v="4.21"/>
    <n v="3"/>
    <x v="4"/>
    <n v="1.21"/>
  </r>
  <r>
    <x v="137"/>
    <x v="4"/>
    <x v="3"/>
    <x v="0"/>
    <x v="0"/>
    <x v="0"/>
    <n v="1582"/>
    <n v="8.35"/>
    <n v="6.61"/>
    <x v="0"/>
    <n v="1.7399999999999993"/>
  </r>
  <r>
    <x v="138"/>
    <x v="4"/>
    <x v="3"/>
    <x v="0"/>
    <x v="8"/>
    <x v="1"/>
    <n v="3691"/>
    <n v="13.08"/>
    <n v="10.15"/>
    <x v="17"/>
    <n v="2.9299999999999997"/>
  </r>
  <r>
    <x v="139"/>
    <x v="4"/>
    <x v="3"/>
    <x v="1"/>
    <x v="2"/>
    <x v="1"/>
    <n v="940"/>
    <n v="4.45"/>
    <n v="2.39"/>
    <x v="5"/>
    <n v="2.06"/>
  </r>
  <r>
    <x v="140"/>
    <x v="4"/>
    <x v="3"/>
    <x v="1"/>
    <x v="6"/>
    <x v="1"/>
    <n v="2845"/>
    <n v="22.02"/>
    <n v="11.73"/>
    <x v="17"/>
    <n v="10.29"/>
  </r>
  <r>
    <x v="141"/>
    <x v="4"/>
    <x v="3"/>
    <x v="2"/>
    <x v="4"/>
    <x v="2"/>
    <n v="3088"/>
    <n v="5.43"/>
    <n v="4.13"/>
    <x v="22"/>
    <n v="1.2999999999999998"/>
  </r>
  <r>
    <x v="142"/>
    <x v="4"/>
    <x v="3"/>
    <x v="2"/>
    <x v="5"/>
    <x v="2"/>
    <n v="1131"/>
    <n v="2.6"/>
    <n v="1.81"/>
    <x v="3"/>
    <n v="0.79"/>
  </r>
  <r>
    <x v="143"/>
    <x v="4"/>
    <x v="4"/>
    <x v="0"/>
    <x v="0"/>
    <x v="1"/>
    <n v="1980"/>
    <n v="9.7200000000000006"/>
    <n v="8.1"/>
    <x v="18"/>
    <n v="1.620000000000001"/>
  </r>
  <r>
    <x v="144"/>
    <x v="4"/>
    <x v="4"/>
    <x v="0"/>
    <x v="1"/>
    <x v="0"/>
    <n v="3388"/>
    <n v="16.7"/>
    <n v="12.27"/>
    <x v="30"/>
    <n v="4.43"/>
  </r>
  <r>
    <x v="145"/>
    <x v="4"/>
    <x v="4"/>
    <x v="1"/>
    <x v="6"/>
    <x v="1"/>
    <n v="1209"/>
    <n v="5.98"/>
    <n v="3.64"/>
    <x v="6"/>
    <n v="2.3400000000000003"/>
  </r>
  <r>
    <x v="146"/>
    <x v="4"/>
    <x v="4"/>
    <x v="1"/>
    <x v="3"/>
    <x v="1"/>
    <n v="2276"/>
    <n v="17.45"/>
    <n v="10.81"/>
    <x v="3"/>
    <n v="6.6399999999999988"/>
  </r>
  <r>
    <x v="147"/>
    <x v="4"/>
    <x v="4"/>
    <x v="2"/>
    <x v="4"/>
    <x v="2"/>
    <n v="2662"/>
    <n v="4.84"/>
    <n v="2.69"/>
    <x v="12"/>
    <n v="2.15"/>
  </r>
  <r>
    <x v="148"/>
    <x v="4"/>
    <x v="4"/>
    <x v="2"/>
    <x v="5"/>
    <x v="2"/>
    <n v="3725"/>
    <n v="7.27"/>
    <n v="5.81"/>
    <x v="27"/>
    <n v="1.46"/>
  </r>
  <r>
    <x v="149"/>
    <x v="5"/>
    <x v="0"/>
    <x v="0"/>
    <x v="0"/>
    <x v="0"/>
    <n v="3979"/>
    <n v="11.13"/>
    <n v="6.13"/>
    <x v="6"/>
    <n v="5.0000000000000009"/>
  </r>
  <r>
    <x v="150"/>
    <x v="5"/>
    <x v="0"/>
    <x v="0"/>
    <x v="1"/>
    <x v="0"/>
    <n v="9414"/>
    <n v="41.51"/>
    <n v="24.2"/>
    <x v="6"/>
    <n v="17.309999999999999"/>
  </r>
  <r>
    <x v="151"/>
    <x v="5"/>
    <x v="0"/>
    <x v="1"/>
    <x v="3"/>
    <x v="1"/>
    <n v="7785"/>
    <n v="31.47"/>
    <n v="17.38"/>
    <x v="15"/>
    <n v="14.09"/>
  </r>
  <r>
    <x v="152"/>
    <x v="5"/>
    <x v="0"/>
    <x v="1"/>
    <x v="2"/>
    <x v="1"/>
    <n v="5608"/>
    <n v="37.549999999999997"/>
    <n v="27.54"/>
    <x v="11"/>
    <n v="10.009999999999998"/>
  </r>
  <r>
    <x v="153"/>
    <x v="5"/>
    <x v="0"/>
    <x v="2"/>
    <x v="4"/>
    <x v="2"/>
    <n v="9067"/>
    <n v="5.62"/>
    <n v="4.55"/>
    <x v="11"/>
    <n v="1.0700000000000003"/>
  </r>
  <r>
    <x v="154"/>
    <x v="5"/>
    <x v="0"/>
    <x v="2"/>
    <x v="5"/>
    <x v="1"/>
    <n v="6575"/>
    <n v="4.07"/>
    <n v="3.27"/>
    <x v="27"/>
    <n v="0.80000000000000027"/>
  </r>
  <r>
    <x v="155"/>
    <x v="5"/>
    <x v="1"/>
    <x v="0"/>
    <x v="1"/>
    <x v="1"/>
    <n v="1527"/>
    <n v="3.62"/>
    <n v="2.06"/>
    <x v="23"/>
    <n v="1.56"/>
  </r>
  <r>
    <x v="156"/>
    <x v="5"/>
    <x v="1"/>
    <x v="0"/>
    <x v="8"/>
    <x v="1"/>
    <n v="3594"/>
    <n v="15.13"/>
    <n v="10.62"/>
    <x v="27"/>
    <n v="4.5100000000000016"/>
  </r>
  <r>
    <x v="157"/>
    <x v="5"/>
    <x v="1"/>
    <x v="1"/>
    <x v="2"/>
    <x v="0"/>
    <n v="3924"/>
    <n v="28.69"/>
    <n v="21.47"/>
    <x v="20"/>
    <n v="7.2200000000000024"/>
  </r>
  <r>
    <x v="158"/>
    <x v="5"/>
    <x v="1"/>
    <x v="1"/>
    <x v="3"/>
    <x v="0"/>
    <n v="3134"/>
    <n v="13.6"/>
    <n v="10.69"/>
    <x v="12"/>
    <n v="2.91"/>
  </r>
  <r>
    <x v="159"/>
    <x v="5"/>
    <x v="1"/>
    <x v="2"/>
    <x v="5"/>
    <x v="2"/>
    <n v="6624"/>
    <n v="4.18"/>
    <n v="3.23"/>
    <x v="2"/>
    <n v="0.94999999999999973"/>
  </r>
  <r>
    <x v="160"/>
    <x v="5"/>
    <x v="1"/>
    <x v="2"/>
    <x v="4"/>
    <x v="2"/>
    <n v="4975"/>
    <n v="7.8"/>
    <n v="4.58"/>
    <x v="31"/>
    <n v="3.2199999999999998"/>
  </r>
  <r>
    <x v="161"/>
    <x v="5"/>
    <x v="2"/>
    <x v="0"/>
    <x v="0"/>
    <x v="0"/>
    <n v="6856"/>
    <n v="29.28"/>
    <n v="21.18"/>
    <x v="7"/>
    <n v="8.1000000000000014"/>
  </r>
  <r>
    <x v="162"/>
    <x v="5"/>
    <x v="2"/>
    <x v="0"/>
    <x v="8"/>
    <x v="1"/>
    <n v="2310"/>
    <n v="6.01"/>
    <n v="3.97"/>
    <x v="13"/>
    <n v="2.0399999999999996"/>
  </r>
  <r>
    <x v="163"/>
    <x v="5"/>
    <x v="2"/>
    <x v="1"/>
    <x v="2"/>
    <x v="1"/>
    <n v="6103"/>
    <n v="51.11"/>
    <n v="34.96"/>
    <x v="26"/>
    <n v="16.149999999999999"/>
  </r>
  <r>
    <x v="164"/>
    <x v="5"/>
    <x v="2"/>
    <x v="1"/>
    <x v="3"/>
    <x v="0"/>
    <n v="4660"/>
    <n v="30.44"/>
    <n v="15.48"/>
    <x v="23"/>
    <n v="14.96"/>
  </r>
  <r>
    <x v="165"/>
    <x v="5"/>
    <x v="2"/>
    <x v="2"/>
    <x v="5"/>
    <x v="1"/>
    <n v="977"/>
    <n v="2.2200000000000002"/>
    <n v="1.49"/>
    <x v="32"/>
    <n v="0.7300000000000002"/>
  </r>
  <r>
    <x v="166"/>
    <x v="5"/>
    <x v="2"/>
    <x v="2"/>
    <x v="7"/>
    <x v="2"/>
    <n v="1500"/>
    <n v="2.2799999999999998"/>
    <n v="1.56"/>
    <x v="25"/>
    <n v="0.71999999999999975"/>
  </r>
  <r>
    <x v="167"/>
    <x v="5"/>
    <x v="3"/>
    <x v="0"/>
    <x v="8"/>
    <x v="0"/>
    <n v="4119"/>
    <n v="11.35"/>
    <n v="6.41"/>
    <x v="3"/>
    <n v="4.9399999999999995"/>
  </r>
  <r>
    <x v="168"/>
    <x v="5"/>
    <x v="3"/>
    <x v="0"/>
    <x v="0"/>
    <x v="1"/>
    <n v="3239"/>
    <n v="12.62"/>
    <n v="7.98"/>
    <x v="0"/>
    <n v="4.6399999999999988"/>
  </r>
  <r>
    <x v="169"/>
    <x v="5"/>
    <x v="3"/>
    <x v="1"/>
    <x v="3"/>
    <x v="1"/>
    <n v="1051"/>
    <n v="6.84"/>
    <n v="4.5"/>
    <x v="18"/>
    <n v="2.34"/>
  </r>
  <r>
    <x v="170"/>
    <x v="5"/>
    <x v="3"/>
    <x v="1"/>
    <x v="6"/>
    <x v="0"/>
    <n v="2180"/>
    <n v="11.79"/>
    <n v="6.96"/>
    <x v="7"/>
    <n v="4.8299999999999992"/>
  </r>
  <r>
    <x v="171"/>
    <x v="5"/>
    <x v="3"/>
    <x v="2"/>
    <x v="4"/>
    <x v="1"/>
    <n v="1914"/>
    <n v="1.04"/>
    <n v="0.63"/>
    <x v="5"/>
    <n v="0.41000000000000003"/>
  </r>
  <r>
    <x v="172"/>
    <x v="5"/>
    <x v="3"/>
    <x v="2"/>
    <x v="5"/>
    <x v="2"/>
    <n v="2597"/>
    <n v="5.97"/>
    <n v="3.41"/>
    <x v="6"/>
    <n v="2.5599999999999996"/>
  </r>
  <r>
    <x v="173"/>
    <x v="5"/>
    <x v="4"/>
    <x v="0"/>
    <x v="1"/>
    <x v="0"/>
    <n v="2062"/>
    <n v="4.59"/>
    <n v="3.12"/>
    <x v="23"/>
    <n v="1.4699999999999998"/>
  </r>
  <r>
    <x v="174"/>
    <x v="5"/>
    <x v="4"/>
    <x v="0"/>
    <x v="8"/>
    <x v="1"/>
    <n v="1489"/>
    <n v="5.89"/>
    <n v="3.54"/>
    <x v="30"/>
    <n v="2.3499999999999996"/>
  </r>
  <r>
    <x v="175"/>
    <x v="5"/>
    <x v="4"/>
    <x v="1"/>
    <x v="6"/>
    <x v="0"/>
    <n v="1984"/>
    <n v="6.91"/>
    <n v="4.29"/>
    <x v="34"/>
    <n v="2.62"/>
  </r>
  <r>
    <x v="176"/>
    <x v="5"/>
    <x v="4"/>
    <x v="1"/>
    <x v="2"/>
    <x v="1"/>
    <n v="3023"/>
    <n v="13.11"/>
    <n v="6.86"/>
    <x v="11"/>
    <n v="6.2499999999999991"/>
  </r>
  <r>
    <x v="177"/>
    <x v="5"/>
    <x v="4"/>
    <x v="2"/>
    <x v="7"/>
    <x v="1"/>
    <n v="1696"/>
    <n v="4.22"/>
    <n v="2.5099999999999998"/>
    <x v="14"/>
    <n v="1.71"/>
  </r>
  <r>
    <x v="178"/>
    <x v="5"/>
    <x v="4"/>
    <x v="2"/>
    <x v="4"/>
    <x v="1"/>
    <n v="1179"/>
    <n v="2.11"/>
    <n v="1.58"/>
    <x v="15"/>
    <n v="0.5299999999999998"/>
  </r>
  <r>
    <x v="179"/>
    <x v="6"/>
    <x v="0"/>
    <x v="0"/>
    <x v="0"/>
    <x v="1"/>
    <n v="7715"/>
    <n v="38.479999999999997"/>
    <n v="31.83"/>
    <x v="37"/>
    <n v="6.6499999999999986"/>
  </r>
  <r>
    <x v="180"/>
    <x v="6"/>
    <x v="0"/>
    <x v="0"/>
    <x v="8"/>
    <x v="1"/>
    <n v="8647"/>
    <n v="36.270000000000003"/>
    <n v="20.69"/>
    <x v="27"/>
    <n v="15.580000000000002"/>
  </r>
  <r>
    <x v="181"/>
    <x v="6"/>
    <x v="0"/>
    <x v="1"/>
    <x v="6"/>
    <x v="0"/>
    <n v="4296"/>
    <n v="14.37"/>
    <n v="7.35"/>
    <x v="5"/>
    <n v="7.02"/>
  </r>
  <r>
    <x v="182"/>
    <x v="6"/>
    <x v="0"/>
    <x v="1"/>
    <x v="2"/>
    <x v="1"/>
    <n v="1958"/>
    <n v="15.35"/>
    <n v="10.51"/>
    <x v="11"/>
    <n v="4.84"/>
  </r>
  <r>
    <x v="183"/>
    <x v="6"/>
    <x v="0"/>
    <x v="2"/>
    <x v="5"/>
    <x v="1"/>
    <n v="9028"/>
    <n v="13.91"/>
    <n v="10.18"/>
    <x v="11"/>
    <n v="3.7300000000000004"/>
  </r>
  <r>
    <x v="184"/>
    <x v="6"/>
    <x v="0"/>
    <x v="2"/>
    <x v="4"/>
    <x v="2"/>
    <n v="5133"/>
    <n v="11.63"/>
    <n v="9.82"/>
    <x v="3"/>
    <n v="1.8100000000000005"/>
  </r>
  <r>
    <x v="185"/>
    <x v="6"/>
    <x v="1"/>
    <x v="0"/>
    <x v="0"/>
    <x v="0"/>
    <n v="2779"/>
    <n v="10.3"/>
    <n v="7.28"/>
    <x v="25"/>
    <n v="3.0200000000000005"/>
  </r>
  <r>
    <x v="186"/>
    <x v="6"/>
    <x v="1"/>
    <x v="0"/>
    <x v="1"/>
    <x v="1"/>
    <n v="7418"/>
    <n v="27.78"/>
    <n v="20.94"/>
    <x v="15"/>
    <n v="6.84"/>
  </r>
  <r>
    <x v="187"/>
    <x v="6"/>
    <x v="1"/>
    <x v="1"/>
    <x v="2"/>
    <x v="0"/>
    <n v="3346"/>
    <n v="18.93"/>
    <n v="10.9"/>
    <x v="6"/>
    <n v="8.0299999999999994"/>
  </r>
  <r>
    <x v="188"/>
    <x v="6"/>
    <x v="1"/>
    <x v="1"/>
    <x v="6"/>
    <x v="0"/>
    <n v="3372"/>
    <n v="18.510000000000002"/>
    <n v="11.2"/>
    <x v="4"/>
    <n v="7.3100000000000023"/>
  </r>
  <r>
    <x v="189"/>
    <x v="6"/>
    <x v="1"/>
    <x v="2"/>
    <x v="7"/>
    <x v="2"/>
    <n v="5183"/>
    <n v="11.85"/>
    <n v="7.86"/>
    <x v="2"/>
    <n v="3.9899999999999993"/>
  </r>
  <r>
    <x v="190"/>
    <x v="6"/>
    <x v="1"/>
    <x v="2"/>
    <x v="5"/>
    <x v="2"/>
    <n v="5702"/>
    <n v="12.89"/>
    <n v="9.74"/>
    <x v="11"/>
    <n v="3.1500000000000004"/>
  </r>
  <r>
    <x v="191"/>
    <x v="6"/>
    <x v="2"/>
    <x v="0"/>
    <x v="0"/>
    <x v="1"/>
    <n v="1082"/>
    <n v="3.82"/>
    <n v="2.4900000000000002"/>
    <x v="13"/>
    <n v="1.3299999999999996"/>
  </r>
  <r>
    <x v="192"/>
    <x v="6"/>
    <x v="2"/>
    <x v="0"/>
    <x v="8"/>
    <x v="0"/>
    <n v="2393"/>
    <n v="5.59"/>
    <n v="4.49"/>
    <x v="24"/>
    <n v="1.0999999999999996"/>
  </r>
  <r>
    <x v="193"/>
    <x v="6"/>
    <x v="2"/>
    <x v="1"/>
    <x v="2"/>
    <x v="1"/>
    <n v="6482"/>
    <n v="40.24"/>
    <n v="21.98"/>
    <x v="25"/>
    <n v="18.260000000000002"/>
  </r>
  <r>
    <x v="194"/>
    <x v="6"/>
    <x v="2"/>
    <x v="1"/>
    <x v="3"/>
    <x v="0"/>
    <n v="5505"/>
    <n v="17.239999999999998"/>
    <n v="12.34"/>
    <x v="4"/>
    <n v="4.8999999999999986"/>
  </r>
  <r>
    <x v="195"/>
    <x v="6"/>
    <x v="2"/>
    <x v="2"/>
    <x v="7"/>
    <x v="1"/>
    <n v="2440"/>
    <n v="2.61"/>
    <n v="2.0499999999999998"/>
    <x v="8"/>
    <n v="0.56000000000000005"/>
  </r>
  <r>
    <x v="196"/>
    <x v="6"/>
    <x v="2"/>
    <x v="2"/>
    <x v="5"/>
    <x v="2"/>
    <n v="3282"/>
    <n v="8.6199999999999992"/>
    <n v="5.93"/>
    <x v="23"/>
    <n v="2.6899999999999995"/>
  </r>
  <r>
    <x v="197"/>
    <x v="6"/>
    <x v="3"/>
    <x v="0"/>
    <x v="8"/>
    <x v="0"/>
    <n v="3970"/>
    <n v="19.170000000000002"/>
    <n v="11.98"/>
    <x v="26"/>
    <n v="7.1900000000000013"/>
  </r>
  <r>
    <x v="198"/>
    <x v="6"/>
    <x v="3"/>
    <x v="0"/>
    <x v="0"/>
    <x v="1"/>
    <n v="2897"/>
    <n v="7.47"/>
    <n v="6.02"/>
    <x v="23"/>
    <n v="1.4500000000000002"/>
  </r>
  <r>
    <x v="199"/>
    <x v="6"/>
    <x v="3"/>
    <x v="1"/>
    <x v="3"/>
    <x v="1"/>
    <n v="4331"/>
    <n v="15.98"/>
    <n v="12.53"/>
    <x v="17"/>
    <n v="3.4500000000000011"/>
  </r>
  <r>
    <x v="200"/>
    <x v="6"/>
    <x v="3"/>
    <x v="1"/>
    <x v="6"/>
    <x v="1"/>
    <n v="4247"/>
    <n v="31.95"/>
    <n v="19.78"/>
    <x v="5"/>
    <n v="12.169999999999998"/>
  </r>
  <r>
    <x v="201"/>
    <x v="6"/>
    <x v="3"/>
    <x v="2"/>
    <x v="5"/>
    <x v="1"/>
    <n v="1547"/>
    <n v="1.62"/>
    <n v="1.24"/>
    <x v="31"/>
    <n v="0.38000000000000012"/>
  </r>
  <r>
    <x v="202"/>
    <x v="6"/>
    <x v="3"/>
    <x v="2"/>
    <x v="4"/>
    <x v="2"/>
    <n v="1191"/>
    <n v="1.36"/>
    <n v="1.03"/>
    <x v="32"/>
    <n v="0.33000000000000007"/>
  </r>
  <r>
    <x v="203"/>
    <x v="6"/>
    <x v="4"/>
    <x v="0"/>
    <x v="0"/>
    <x v="1"/>
    <n v="2661"/>
    <n v="13.52"/>
    <n v="8.31"/>
    <x v="9"/>
    <n v="5.2099999999999991"/>
  </r>
  <r>
    <x v="204"/>
    <x v="6"/>
    <x v="4"/>
    <x v="0"/>
    <x v="8"/>
    <x v="1"/>
    <n v="917"/>
    <n v="2.78"/>
    <n v="1.57"/>
    <x v="18"/>
    <n v="1.2099999999999997"/>
  </r>
  <r>
    <x v="205"/>
    <x v="6"/>
    <x v="4"/>
    <x v="1"/>
    <x v="2"/>
    <x v="0"/>
    <n v="916"/>
    <n v="7.03"/>
    <n v="3.55"/>
    <x v="20"/>
    <n v="3.4800000000000004"/>
  </r>
  <r>
    <x v="206"/>
    <x v="6"/>
    <x v="4"/>
    <x v="1"/>
    <x v="6"/>
    <x v="0"/>
    <n v="3018"/>
    <n v="12.11"/>
    <n v="7.34"/>
    <x v="28"/>
    <n v="4.7699999999999996"/>
  </r>
  <r>
    <x v="207"/>
    <x v="6"/>
    <x v="4"/>
    <x v="2"/>
    <x v="4"/>
    <x v="1"/>
    <n v="766"/>
    <n v="1.19"/>
    <n v="1.01"/>
    <x v="27"/>
    <n v="0.17999999999999994"/>
  </r>
  <r>
    <x v="208"/>
    <x v="6"/>
    <x v="4"/>
    <x v="2"/>
    <x v="7"/>
    <x v="1"/>
    <n v="3554"/>
    <n v="2.04"/>
    <n v="1.35"/>
    <x v="26"/>
    <n v="0.69"/>
  </r>
  <r>
    <x v="209"/>
    <x v="7"/>
    <x v="0"/>
    <x v="0"/>
    <x v="8"/>
    <x v="1"/>
    <n v="3452"/>
    <n v="14.71"/>
    <n v="10.66"/>
    <x v="0"/>
    <n v="4.0500000000000007"/>
  </r>
  <r>
    <x v="210"/>
    <x v="7"/>
    <x v="0"/>
    <x v="0"/>
    <x v="1"/>
    <x v="0"/>
    <n v="1732"/>
    <n v="7.7"/>
    <n v="4.6399999999999997"/>
    <x v="13"/>
    <n v="3.0600000000000005"/>
  </r>
  <r>
    <x v="211"/>
    <x v="7"/>
    <x v="0"/>
    <x v="1"/>
    <x v="6"/>
    <x v="0"/>
    <n v="8437"/>
    <n v="29.52"/>
    <n v="18.809999999999999"/>
    <x v="23"/>
    <n v="10.71"/>
  </r>
  <r>
    <x v="212"/>
    <x v="7"/>
    <x v="0"/>
    <x v="1"/>
    <x v="2"/>
    <x v="0"/>
    <n v="8258"/>
    <n v="59.09"/>
    <n v="35.04"/>
    <x v="20"/>
    <n v="24.050000000000004"/>
  </r>
  <r>
    <x v="213"/>
    <x v="7"/>
    <x v="0"/>
    <x v="2"/>
    <x v="7"/>
    <x v="1"/>
    <n v="1664"/>
    <n v="2.86"/>
    <n v="2.31"/>
    <x v="15"/>
    <n v="0.54999999999999982"/>
  </r>
  <r>
    <x v="214"/>
    <x v="7"/>
    <x v="0"/>
    <x v="2"/>
    <x v="5"/>
    <x v="1"/>
    <n v="3732"/>
    <n v="7.73"/>
    <n v="5.18"/>
    <x v="27"/>
    <n v="2.5500000000000007"/>
  </r>
  <r>
    <x v="215"/>
    <x v="7"/>
    <x v="1"/>
    <x v="0"/>
    <x v="8"/>
    <x v="0"/>
    <n v="4629"/>
    <n v="20.04"/>
    <n v="14.14"/>
    <x v="2"/>
    <n v="5.8999999999999986"/>
  </r>
  <r>
    <x v="216"/>
    <x v="7"/>
    <x v="1"/>
    <x v="0"/>
    <x v="0"/>
    <x v="1"/>
    <n v="1657"/>
    <n v="7.78"/>
    <n v="5.55"/>
    <x v="18"/>
    <n v="2.2300000000000004"/>
  </r>
  <r>
    <x v="217"/>
    <x v="7"/>
    <x v="1"/>
    <x v="1"/>
    <x v="3"/>
    <x v="1"/>
    <n v="3278"/>
    <n v="19.420000000000002"/>
    <n v="13.73"/>
    <x v="31"/>
    <n v="5.6900000000000013"/>
  </r>
  <r>
    <x v="218"/>
    <x v="7"/>
    <x v="1"/>
    <x v="1"/>
    <x v="6"/>
    <x v="0"/>
    <n v="6271"/>
    <n v="48.49"/>
    <n v="30.57"/>
    <x v="26"/>
    <n v="17.920000000000002"/>
  </r>
  <r>
    <x v="219"/>
    <x v="7"/>
    <x v="1"/>
    <x v="2"/>
    <x v="4"/>
    <x v="1"/>
    <n v="3682"/>
    <n v="8.02"/>
    <n v="6.7"/>
    <x v="32"/>
    <n v="1.3199999999999994"/>
  </r>
  <r>
    <x v="220"/>
    <x v="7"/>
    <x v="1"/>
    <x v="2"/>
    <x v="7"/>
    <x v="1"/>
    <n v="1343"/>
    <n v="0.9"/>
    <n v="0.59"/>
    <x v="5"/>
    <n v="0.31000000000000005"/>
  </r>
  <r>
    <x v="221"/>
    <x v="7"/>
    <x v="2"/>
    <x v="0"/>
    <x v="0"/>
    <x v="0"/>
    <n v="5392"/>
    <n v="30.45"/>
    <n v="23.72"/>
    <x v="37"/>
    <n v="6.73"/>
  </r>
  <r>
    <x v="222"/>
    <x v="7"/>
    <x v="2"/>
    <x v="0"/>
    <x v="1"/>
    <x v="1"/>
    <n v="3572"/>
    <n v="15.6"/>
    <n v="9.11"/>
    <x v="0"/>
    <n v="6.49"/>
  </r>
  <r>
    <x v="223"/>
    <x v="7"/>
    <x v="2"/>
    <x v="1"/>
    <x v="6"/>
    <x v="0"/>
    <n v="2690"/>
    <n v="11.45"/>
    <n v="9.15"/>
    <x v="23"/>
    <n v="2.2999999999999989"/>
  </r>
  <r>
    <x v="224"/>
    <x v="7"/>
    <x v="2"/>
    <x v="1"/>
    <x v="2"/>
    <x v="1"/>
    <n v="2291"/>
    <n v="7.71"/>
    <n v="4.25"/>
    <x v="35"/>
    <n v="3.46"/>
  </r>
  <r>
    <x v="225"/>
    <x v="7"/>
    <x v="2"/>
    <x v="2"/>
    <x v="4"/>
    <x v="1"/>
    <n v="5589"/>
    <n v="8.57"/>
    <n v="5.48"/>
    <x v="25"/>
    <n v="3.09"/>
  </r>
  <r>
    <x v="226"/>
    <x v="7"/>
    <x v="2"/>
    <x v="2"/>
    <x v="5"/>
    <x v="2"/>
    <n v="6134"/>
    <n v="8.6"/>
    <n v="5.25"/>
    <x v="32"/>
    <n v="3.3499999999999996"/>
  </r>
  <r>
    <x v="227"/>
    <x v="7"/>
    <x v="3"/>
    <x v="0"/>
    <x v="8"/>
    <x v="1"/>
    <n v="2978"/>
    <n v="10.98"/>
    <n v="7.86"/>
    <x v="1"/>
    <n v="3.12"/>
  </r>
  <r>
    <x v="228"/>
    <x v="7"/>
    <x v="3"/>
    <x v="0"/>
    <x v="1"/>
    <x v="0"/>
    <n v="924"/>
    <n v="3.46"/>
    <n v="2.4"/>
    <x v="20"/>
    <n v="1.06"/>
  </r>
  <r>
    <x v="229"/>
    <x v="7"/>
    <x v="3"/>
    <x v="1"/>
    <x v="6"/>
    <x v="0"/>
    <n v="4739"/>
    <n v="29.14"/>
    <n v="20.52"/>
    <x v="31"/>
    <n v="8.620000000000001"/>
  </r>
  <r>
    <x v="230"/>
    <x v="7"/>
    <x v="3"/>
    <x v="1"/>
    <x v="3"/>
    <x v="0"/>
    <n v="3878"/>
    <n v="14.14"/>
    <n v="10.75"/>
    <x v="30"/>
    <n v="3.3900000000000006"/>
  </r>
  <r>
    <x v="231"/>
    <x v="7"/>
    <x v="3"/>
    <x v="2"/>
    <x v="7"/>
    <x v="1"/>
    <n v="1340"/>
    <n v="1.6"/>
    <n v="1.05"/>
    <x v="21"/>
    <n v="0.55000000000000004"/>
  </r>
  <r>
    <x v="232"/>
    <x v="7"/>
    <x v="3"/>
    <x v="2"/>
    <x v="4"/>
    <x v="1"/>
    <n v="4207"/>
    <n v="4.33"/>
    <n v="3.1"/>
    <x v="24"/>
    <n v="1.23"/>
  </r>
  <r>
    <x v="233"/>
    <x v="7"/>
    <x v="4"/>
    <x v="0"/>
    <x v="8"/>
    <x v="0"/>
    <n v="2655"/>
    <n v="10.72"/>
    <n v="7.9"/>
    <x v="2"/>
    <n v="2.8200000000000003"/>
  </r>
  <r>
    <x v="234"/>
    <x v="7"/>
    <x v="4"/>
    <x v="0"/>
    <x v="1"/>
    <x v="1"/>
    <n v="3547"/>
    <n v="16.07"/>
    <n v="8.98"/>
    <x v="38"/>
    <n v="7.09"/>
  </r>
  <r>
    <x v="235"/>
    <x v="7"/>
    <x v="4"/>
    <x v="1"/>
    <x v="2"/>
    <x v="0"/>
    <n v="3278"/>
    <n v="17.13"/>
    <n v="11.12"/>
    <x v="11"/>
    <n v="6.01"/>
  </r>
  <r>
    <x v="236"/>
    <x v="7"/>
    <x v="4"/>
    <x v="1"/>
    <x v="6"/>
    <x v="1"/>
    <n v="2833"/>
    <n v="12.13"/>
    <n v="9"/>
    <x v="23"/>
    <n v="3.1300000000000008"/>
  </r>
  <r>
    <x v="237"/>
    <x v="7"/>
    <x v="4"/>
    <x v="2"/>
    <x v="5"/>
    <x v="2"/>
    <n v="1110"/>
    <n v="1.47"/>
    <n v="0.96"/>
    <x v="9"/>
    <n v="0.51"/>
  </r>
  <r>
    <x v="238"/>
    <x v="7"/>
    <x v="4"/>
    <x v="2"/>
    <x v="4"/>
    <x v="1"/>
    <n v="3162"/>
    <n v="7.69"/>
    <n v="4.53"/>
    <x v="10"/>
    <n v="3.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585884-4C5A-4CD7-8E0E-3A4C474FF41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1:B81" firstHeaderRow="1" firstDataRow="1" firstDataCol="1"/>
  <pivotFields count="11">
    <pivotField showAll="0"/>
    <pivotField showAll="0">
      <items count="9">
        <item x="0"/>
        <item x="4"/>
        <item x="1"/>
        <item x="5"/>
        <item x="2"/>
        <item x="6"/>
        <item x="3"/>
        <item x="7"/>
        <item t="default"/>
      </items>
    </pivotField>
    <pivotField showAll="0">
      <items count="6">
        <item x="2"/>
        <item x="1"/>
        <item x="3"/>
        <item x="4"/>
        <item x="0"/>
        <item t="default"/>
      </items>
    </pivotField>
    <pivotField showAll="0">
      <items count="5">
        <item x="1"/>
        <item x="2"/>
        <item x="0"/>
        <item m="1" x="3"/>
        <item t="default"/>
      </items>
    </pivotField>
    <pivotField axis="axisRow" showAll="0">
      <items count="10">
        <item x="3"/>
        <item x="8"/>
        <item x="6"/>
        <item x="0"/>
        <item x="1"/>
        <item x="5"/>
        <item x="4"/>
        <item x="2"/>
        <item x="7"/>
        <item t="default"/>
      </items>
    </pivotField>
    <pivotField showAll="0"/>
    <pivotField dataField="1" showAll="0"/>
    <pivotField showAll="0"/>
    <pivotField showAll="0"/>
    <pivotField numFmtId="165" showAll="0"/>
    <pivotField numFmtId="4" showAll="0"/>
  </pivotFields>
  <rowFields count="1">
    <field x="4"/>
  </rowFields>
  <rowItems count="10">
    <i>
      <x/>
    </i>
    <i>
      <x v="1"/>
    </i>
    <i>
      <x v="2"/>
    </i>
    <i>
      <x v="3"/>
    </i>
    <i>
      <x v="4"/>
    </i>
    <i>
      <x v="5"/>
    </i>
    <i>
      <x v="6"/>
    </i>
    <i>
      <x v="7"/>
    </i>
    <i>
      <x v="8"/>
    </i>
    <i t="grand">
      <x/>
    </i>
  </rowItems>
  <colItems count="1">
    <i/>
  </colItems>
  <dataFields count="1">
    <dataField name="Sum of Units_Sold" fld="6" baseField="0" baseItem="0" numFmtId="166"/>
  </dataFields>
  <formats count="1">
    <format dxfId="0">
      <pivotArea outline="0" collapsedLevelsAreSubtotals="1" fieldPosition="0"/>
    </format>
  </formats>
  <chartFormats count="1">
    <chartFormat chart="2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3D1FB-37BE-4C91-9D77-0C61F50B08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53:C62" firstHeaderRow="0" firstDataRow="1" firstDataCol="1"/>
  <pivotFields count="11">
    <pivotField showAll="0"/>
    <pivotField axis="axisRow" showAll="0">
      <items count="9">
        <item x="0"/>
        <item x="1"/>
        <item x="2"/>
        <item x="3"/>
        <item x="4"/>
        <item x="5"/>
        <item x="6"/>
        <item x="7"/>
        <item t="default"/>
      </items>
    </pivotField>
    <pivotField showAll="0">
      <items count="6">
        <item x="2"/>
        <item x="1"/>
        <item x="3"/>
        <item x="4"/>
        <item x="0"/>
        <item t="default"/>
      </items>
    </pivotField>
    <pivotField showAll="0">
      <items count="5">
        <item x="1"/>
        <item x="2"/>
        <item x="0"/>
        <item m="1" x="3"/>
        <item t="default"/>
      </items>
    </pivotField>
    <pivotField showAll="0"/>
    <pivotField showAll="0"/>
    <pivotField showAll="0"/>
    <pivotField dataField="1" showAll="0"/>
    <pivotField dataField="1" showAll="0"/>
    <pivotField numFmtId="165" showAll="0"/>
    <pivotField numFmtId="4"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Revenue_USD_Million" fld="7" baseField="0" baseItem="0"/>
    <dataField name="Sum of Operating_Cost_USD_Million" fld="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D5DF2-2EFB-490E-9203-99BD629BBD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5:B39" firstHeaderRow="1" firstDataRow="1" firstDataCol="1"/>
  <pivotFields count="11">
    <pivotField showAll="0"/>
    <pivotField showAll="0">
      <items count="9">
        <item x="0"/>
        <item x="4"/>
        <item x="1"/>
        <item x="5"/>
        <item x="2"/>
        <item x="6"/>
        <item x="3"/>
        <item x="7"/>
        <item t="default"/>
      </items>
    </pivotField>
    <pivotField showAll="0">
      <items count="6">
        <item x="2"/>
        <item x="1"/>
        <item x="3"/>
        <item x="4"/>
        <item x="0"/>
        <item t="default"/>
      </items>
    </pivotField>
    <pivotField axis="axisRow" showAll="0">
      <items count="5">
        <item x="1"/>
        <item x="2"/>
        <item x="0"/>
        <item m="1" x="3"/>
        <item t="default"/>
      </items>
    </pivotField>
    <pivotField showAll="0"/>
    <pivotField showAll="0"/>
    <pivotField showAll="0"/>
    <pivotField showAll="0"/>
    <pivotField showAll="0"/>
    <pivotField numFmtId="165" showAll="0"/>
    <pivotField dataField="1" numFmtId="4" showAll="0"/>
  </pivotFields>
  <rowFields count="1">
    <field x="3"/>
  </rowFields>
  <rowItems count="4">
    <i>
      <x/>
    </i>
    <i>
      <x v="1"/>
    </i>
    <i>
      <x v="2"/>
    </i>
    <i t="grand">
      <x/>
    </i>
  </rowItems>
  <colItems count="1">
    <i/>
  </colItems>
  <dataFields count="1">
    <dataField name="Sum of Profit" fld="10" baseField="0" baseItem="0" numFmtId="166"/>
  </dataFields>
  <formats count="1">
    <format dxfId="2">
      <pivotArea outline="0" collapsedLevelsAreSubtotals="1" fieldPosition="0"/>
    </format>
  </formats>
  <chartFormats count="4">
    <chartFormat chart="33" format="24" series="1">
      <pivotArea type="data" outline="0" fieldPosition="0">
        <references count="1">
          <reference field="4294967294" count="1" selected="0">
            <x v="0"/>
          </reference>
        </references>
      </pivotArea>
    </chartFormat>
    <chartFormat chart="33" format="25">
      <pivotArea type="data" outline="0" fieldPosition="0">
        <references count="2">
          <reference field="4294967294" count="1" selected="0">
            <x v="0"/>
          </reference>
          <reference field="3" count="1" selected="0">
            <x v="0"/>
          </reference>
        </references>
      </pivotArea>
    </chartFormat>
    <chartFormat chart="33" format="26">
      <pivotArea type="data" outline="0" fieldPosition="0">
        <references count="2">
          <reference field="4294967294" count="1" selected="0">
            <x v="0"/>
          </reference>
          <reference field="3" count="1" selected="0">
            <x v="1"/>
          </reference>
        </references>
      </pivotArea>
    </chartFormat>
    <chartFormat chart="33"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F0FBED-F3F9-4249-88CA-4A7AA8BC64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9:B25" firstHeaderRow="1" firstDataRow="1" firstDataCol="1"/>
  <pivotFields count="11">
    <pivotField showAll="0"/>
    <pivotField showAll="0">
      <items count="9">
        <item x="0"/>
        <item x="4"/>
        <item x="1"/>
        <item x="5"/>
        <item x="2"/>
        <item x="6"/>
        <item x="3"/>
        <item x="7"/>
        <item t="default"/>
      </items>
    </pivotField>
    <pivotField axis="axisRow" showAll="0">
      <items count="6">
        <item x="2"/>
        <item x="1"/>
        <item x="3"/>
        <item x="4"/>
        <item x="0"/>
        <item t="default"/>
      </items>
    </pivotField>
    <pivotField showAll="0"/>
    <pivotField showAll="0"/>
    <pivotField showAll="0"/>
    <pivotField showAll="0"/>
    <pivotField dataField="1" showAll="0"/>
    <pivotField showAll="0"/>
    <pivotField numFmtId="165" showAll="0"/>
    <pivotField numFmtId="4" showAll="0"/>
  </pivotFields>
  <rowFields count="1">
    <field x="2"/>
  </rowFields>
  <rowItems count="6">
    <i>
      <x/>
    </i>
    <i>
      <x v="1"/>
    </i>
    <i>
      <x v="2"/>
    </i>
    <i>
      <x v="3"/>
    </i>
    <i>
      <x v="4"/>
    </i>
    <i t="grand">
      <x/>
    </i>
  </rowItems>
  <colItems count="1">
    <i/>
  </colItems>
  <dataFields count="1">
    <dataField name="Sum of Revenue_USD_Million" fld="7" baseField="0" baseItem="0"/>
  </dataFields>
  <formats count="1">
    <format dxfId="3">
      <pivotArea outline="0" collapsedLevelsAreSubtotals="1" fieldPosition="0"/>
    </format>
  </formats>
  <chartFormats count="1">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A3F68-AFB0-44AD-8A35-27783807A6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2" firstHeaderRow="1" firstDataRow="1" firstDataCol="1"/>
  <pivotFields count="11">
    <pivotField showAll="0"/>
    <pivotField axis="axisRow" showAll="0">
      <items count="9">
        <item x="0"/>
        <item x="1"/>
        <item x="2"/>
        <item x="3"/>
        <item x="4"/>
        <item x="5"/>
        <item x="6"/>
        <item x="7"/>
        <item t="default"/>
      </items>
    </pivotField>
    <pivotField showAll="0">
      <items count="6">
        <item x="2"/>
        <item x="1"/>
        <item x="3"/>
        <item x="4"/>
        <item x="0"/>
        <item t="default"/>
      </items>
    </pivotField>
    <pivotField showAll="0"/>
    <pivotField showAll="0"/>
    <pivotField showAll="0"/>
    <pivotField showAll="0"/>
    <pivotField dataField="1" showAll="0"/>
    <pivotField showAll="0"/>
    <pivotField numFmtId="165" showAll="0"/>
    <pivotField numFmtId="4" showAll="0"/>
  </pivotFields>
  <rowFields count="1">
    <field x="1"/>
  </rowFields>
  <rowItems count="9">
    <i>
      <x/>
    </i>
    <i>
      <x v="1"/>
    </i>
    <i>
      <x v="2"/>
    </i>
    <i>
      <x v="3"/>
    </i>
    <i>
      <x v="4"/>
    </i>
    <i>
      <x v="5"/>
    </i>
    <i>
      <x v="6"/>
    </i>
    <i>
      <x v="7"/>
    </i>
    <i t="grand">
      <x/>
    </i>
  </rowItems>
  <colItems count="1">
    <i/>
  </colItems>
  <dataFields count="1">
    <dataField name="Sum of Revenue_USD_Million" fld="7" baseField="0" baseItem="0" numFmtId="166"/>
  </dataFields>
  <formats count="4">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s>
  <chartFormats count="9">
    <chartFormat chart="17" format="57" series="1">
      <pivotArea type="data" outline="0" fieldPosition="0">
        <references count="1">
          <reference field="4294967294" count="1" selected="0">
            <x v="0"/>
          </reference>
        </references>
      </pivotArea>
    </chartFormat>
    <chartFormat chart="17" format="58">
      <pivotArea type="data" outline="0" fieldPosition="0">
        <references count="2">
          <reference field="4294967294" count="1" selected="0">
            <x v="0"/>
          </reference>
          <reference field="1" count="1" selected="0">
            <x v="0"/>
          </reference>
        </references>
      </pivotArea>
    </chartFormat>
    <chartFormat chart="17" format="59">
      <pivotArea type="data" outline="0" fieldPosition="0">
        <references count="2">
          <reference field="4294967294" count="1" selected="0">
            <x v="0"/>
          </reference>
          <reference field="1" count="1" selected="0">
            <x v="1"/>
          </reference>
        </references>
      </pivotArea>
    </chartFormat>
    <chartFormat chart="17" format="60">
      <pivotArea type="data" outline="0" fieldPosition="0">
        <references count="2">
          <reference field="4294967294" count="1" selected="0">
            <x v="0"/>
          </reference>
          <reference field="1" count="1" selected="0">
            <x v="2"/>
          </reference>
        </references>
      </pivotArea>
    </chartFormat>
    <chartFormat chart="17" format="61">
      <pivotArea type="data" outline="0" fieldPosition="0">
        <references count="2">
          <reference field="4294967294" count="1" selected="0">
            <x v="0"/>
          </reference>
          <reference field="1" count="1" selected="0">
            <x v="3"/>
          </reference>
        </references>
      </pivotArea>
    </chartFormat>
    <chartFormat chart="17" format="62">
      <pivotArea type="data" outline="0" fieldPosition="0">
        <references count="2">
          <reference field="4294967294" count="1" selected="0">
            <x v="0"/>
          </reference>
          <reference field="1" count="1" selected="0">
            <x v="4"/>
          </reference>
        </references>
      </pivotArea>
    </chartFormat>
    <chartFormat chart="17" format="63">
      <pivotArea type="data" outline="0" fieldPosition="0">
        <references count="2">
          <reference field="4294967294" count="1" selected="0">
            <x v="0"/>
          </reference>
          <reference field="1" count="1" selected="0">
            <x v="5"/>
          </reference>
        </references>
      </pivotArea>
    </chartFormat>
    <chartFormat chart="17" format="64">
      <pivotArea type="data" outline="0" fieldPosition="0">
        <references count="2">
          <reference field="4294967294" count="1" selected="0">
            <x v="0"/>
          </reference>
          <reference field="1" count="1" selected="0">
            <x v="6"/>
          </reference>
        </references>
      </pivotArea>
    </chartFormat>
    <chartFormat chart="17" format="65">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27226-70C8-4F27-928C-2E962C83A3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42:E49" firstHeaderRow="1" firstDataRow="2" firstDataCol="1"/>
  <pivotFields count="11">
    <pivotField showAll="0"/>
    <pivotField showAll="0">
      <items count="9">
        <item x="0"/>
        <item x="4"/>
        <item x="1"/>
        <item x="5"/>
        <item x="2"/>
        <item x="6"/>
        <item x="3"/>
        <item x="7"/>
        <item t="default"/>
      </items>
    </pivotField>
    <pivotField axis="axisRow" showAll="0">
      <items count="6">
        <item x="2"/>
        <item x="1"/>
        <item x="3"/>
        <item x="4"/>
        <item x="0"/>
        <item t="default"/>
      </items>
    </pivotField>
    <pivotField showAll="0">
      <items count="5">
        <item x="1"/>
        <item x="2"/>
        <item x="0"/>
        <item m="1" x="3"/>
        <item t="default"/>
      </items>
    </pivotField>
    <pivotField showAll="0"/>
    <pivotField axis="axisCol" showAll="0">
      <items count="4">
        <item x="2"/>
        <item x="0"/>
        <item x="1"/>
        <item t="default"/>
      </items>
    </pivotField>
    <pivotField showAll="0"/>
    <pivotField showAll="0"/>
    <pivotField showAll="0"/>
    <pivotField dataField="1" numFmtId="165" showAll="0"/>
    <pivotField numFmtId="4" showAll="0"/>
  </pivotFields>
  <rowFields count="1">
    <field x="2"/>
  </rowFields>
  <rowItems count="6">
    <i>
      <x/>
    </i>
    <i>
      <x v="1"/>
    </i>
    <i>
      <x v="2"/>
    </i>
    <i>
      <x v="3"/>
    </i>
    <i>
      <x v="4"/>
    </i>
    <i t="grand">
      <x/>
    </i>
  </rowItems>
  <colFields count="1">
    <field x="5"/>
  </colFields>
  <colItems count="4">
    <i>
      <x/>
    </i>
    <i>
      <x v="1"/>
    </i>
    <i>
      <x v="2"/>
    </i>
    <i t="grand">
      <x/>
    </i>
  </colItems>
  <dataFields count="1">
    <dataField name="Average of Customer_Satisfaction_Score" fld="9" subtotal="average" baseField="2" baseItem="0" numFmtId="167"/>
  </dataFields>
  <formats count="2">
    <format dxfId="9">
      <pivotArea outline="0" collapsedLevelsAreSubtotals="1" fieldPosition="0"/>
    </format>
    <format dxfId="8">
      <pivotArea outline="0" collapsedLevelsAreSubtotals="1" fieldPosition="0"/>
    </format>
  </formats>
  <chartFormats count="3">
    <chartFormat chart="36" format="6" series="1">
      <pivotArea type="data" outline="0" fieldPosition="0">
        <references count="2">
          <reference field="4294967294" count="1" selected="0">
            <x v="0"/>
          </reference>
          <reference field="5" count="1" selected="0">
            <x v="0"/>
          </reference>
        </references>
      </pivotArea>
    </chartFormat>
    <chartFormat chart="36" format="7" series="1">
      <pivotArea type="data" outline="0" fieldPosition="0">
        <references count="2">
          <reference field="4294967294" count="1" selected="0">
            <x v="0"/>
          </reference>
          <reference field="5" count="1" selected="0">
            <x v="1"/>
          </reference>
        </references>
      </pivotArea>
    </chartFormat>
    <chartFormat chart="3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0BE411-CDAF-430B-9A58-FECDB817702A}" sourceName="Region">
  <pivotTables>
    <pivotTable tabId="4" name="PivotTable2"/>
    <pivotTable tabId="4" name="PivotTable1"/>
    <pivotTable tabId="4" name="PivotTable3"/>
    <pivotTable tabId="4" name="PivotTable4"/>
    <pivotTable tabId="4" name="PivotTable5"/>
    <pivotTable tabId="4" name="PivotTable6"/>
  </pivotTables>
  <data>
    <tabular pivotCacheId="1341116146">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Quarter" xr10:uid="{40688D67-D6B1-4886-B962-3E0D79D7EEAA}" sourceName="Fiscal_Quarter">
  <pivotTables>
    <pivotTable tabId="4" name="PivotTable1"/>
    <pivotTable tabId="4" name="PivotTable2"/>
    <pivotTable tabId="4" name="PivotTable3"/>
    <pivotTable tabId="4" name="PivotTable4"/>
    <pivotTable tabId="4" name="PivotTable5"/>
    <pivotTable tabId="4" name="PivotTable6"/>
  </pivotTables>
  <data>
    <tabular pivotCacheId="1341116146">
      <items count="8">
        <i x="0" s="1"/>
        <i x="4" s="1"/>
        <i x="1" s="1"/>
        <i x="5" s="1"/>
        <i x="2" s="1"/>
        <i x="6"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AC5EFD5-53CC-4BC1-9F21-34979E89B1E7}" cache="Slicer_Region" caption="Region" columnCount="5" style="SlicerStyleDark4" rowHeight="252000"/>
  <slicer name="Fiscal_Quarter" xr10:uid="{8C21A1C8-5AC6-49CF-913A-2E341C780C5F}" cache="Slicer_Fiscal_Quarter" caption="Fiscal_Quarter" columnCount="4" style="SlicerStyleDark4"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showGridLines="0" tabSelected="1" zoomScale="90" zoomScaleNormal="90" workbookViewId="0">
      <pane ySplit="1" topLeftCell="A2" activePane="bottomLeft" state="frozen"/>
      <selection pane="bottomLeft" activeCell="B3" sqref="B3"/>
    </sheetView>
  </sheetViews>
  <sheetFormatPr defaultColWidth="14.44140625" defaultRowHeight="15" customHeight="1" x14ac:dyDescent="0.3"/>
  <cols>
    <col min="1" max="1" width="165" customWidth="1"/>
    <col min="2" max="6" width="8.77734375" customWidth="1"/>
  </cols>
  <sheetData>
    <row r="1" spans="1:1" ht="33.75" customHeight="1" x14ac:dyDescent="0.3">
      <c r="A1" s="2" t="s">
        <v>0</v>
      </c>
    </row>
    <row r="3" spans="1:1" ht="15.75" customHeight="1" x14ac:dyDescent="0.3">
      <c r="A3" s="3" t="s">
        <v>2</v>
      </c>
    </row>
    <row r="4" spans="1:1" ht="21" customHeight="1" x14ac:dyDescent="0.3">
      <c r="A4" s="4" t="s">
        <v>3</v>
      </c>
    </row>
    <row r="5" spans="1:1" ht="6" customHeight="1" x14ac:dyDescent="0.3">
      <c r="A5" s="4"/>
    </row>
    <row r="6" spans="1:1" ht="7.5" customHeight="1" x14ac:dyDescent="0.3">
      <c r="A6" s="4"/>
    </row>
    <row r="7" spans="1:1" ht="15.75" customHeight="1" x14ac:dyDescent="0.3">
      <c r="A7" s="3" t="s">
        <v>6</v>
      </c>
    </row>
    <row r="8" spans="1:1" ht="56.25" customHeight="1" x14ac:dyDescent="0.3">
      <c r="A8" s="4" t="s">
        <v>8</v>
      </c>
    </row>
    <row r="9" spans="1:1" ht="14.4" x14ac:dyDescent="0.3">
      <c r="A9" s="4"/>
    </row>
    <row r="10" spans="1:1" ht="15.75" customHeight="1" x14ac:dyDescent="0.3">
      <c r="A10" s="3" t="s">
        <v>10</v>
      </c>
    </row>
    <row r="11" spans="1:1" ht="34.5" customHeight="1" x14ac:dyDescent="0.3">
      <c r="A11" s="4" t="s">
        <v>12</v>
      </c>
    </row>
    <row r="13" spans="1:1" ht="15.75" customHeight="1" x14ac:dyDescent="0.3">
      <c r="A13" s="3" t="s">
        <v>14</v>
      </c>
    </row>
    <row r="14" spans="1:1" ht="26.4" x14ac:dyDescent="0.3">
      <c r="A14" s="4" t="s">
        <v>16</v>
      </c>
    </row>
    <row r="16" spans="1:1" ht="15.75" customHeight="1" x14ac:dyDescent="0.3">
      <c r="A16" s="3" t="s">
        <v>18</v>
      </c>
    </row>
    <row r="17" spans="1:1" ht="39.6" x14ac:dyDescent="0.3">
      <c r="A17" s="4" t="s">
        <v>21</v>
      </c>
    </row>
    <row r="19" spans="1:1" ht="15.75" customHeight="1" x14ac:dyDescent="0.3">
      <c r="A19" s="3" t="s">
        <v>23</v>
      </c>
    </row>
    <row r="20" spans="1:1" ht="26.4" x14ac:dyDescent="0.3">
      <c r="A20" s="4" t="s">
        <v>25</v>
      </c>
    </row>
    <row r="21" spans="1:1" ht="15.75" customHeight="1" x14ac:dyDescent="0.3"/>
    <row r="22" spans="1:1" ht="15.75" customHeight="1" x14ac:dyDescent="0.3"/>
    <row r="23" spans="1:1" ht="15.75" customHeight="1" x14ac:dyDescent="0.3"/>
    <row r="24" spans="1:1" ht="15.75" customHeight="1" x14ac:dyDescent="0.3"/>
    <row r="25" spans="1:1" ht="15.75" customHeight="1" x14ac:dyDescent="0.3"/>
    <row r="26" spans="1:1" ht="15.75" customHeight="1" x14ac:dyDescent="0.3"/>
    <row r="27" spans="1:1" ht="15.75" customHeight="1" x14ac:dyDescent="0.3"/>
    <row r="28" spans="1:1" ht="15.75" customHeight="1" x14ac:dyDescent="0.3"/>
    <row r="29" spans="1:1" ht="15.75" customHeight="1" x14ac:dyDescent="0.3"/>
    <row r="30" spans="1:1" ht="15.75" customHeight="1" x14ac:dyDescent="0.3"/>
    <row r="31" spans="1:1" ht="15.75" customHeight="1" x14ac:dyDescent="0.3"/>
    <row r="32" spans="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99"/>
  <sheetViews>
    <sheetView showGridLines="0" zoomScale="83" workbookViewId="0">
      <selection activeCell="M9" sqref="M9"/>
    </sheetView>
  </sheetViews>
  <sheetFormatPr defaultColWidth="14.44140625" defaultRowHeight="15" customHeight="1" x14ac:dyDescent="0.3"/>
  <cols>
    <col min="1" max="2" width="11" customWidth="1"/>
    <col min="3" max="3" width="16" customWidth="1"/>
    <col min="4" max="4" width="27" customWidth="1"/>
    <col min="5" max="5" width="15" customWidth="1"/>
    <col min="6" max="6" width="14" customWidth="1"/>
    <col min="7" max="7" width="12" customWidth="1"/>
    <col min="8" max="8" width="18" customWidth="1"/>
    <col min="9" max="9" width="22" customWidth="1"/>
    <col min="10" max="10" width="14" customWidth="1"/>
  </cols>
  <sheetData>
    <row r="1" spans="1:11" ht="27.75" customHeight="1" x14ac:dyDescent="0.3">
      <c r="A1" s="42"/>
      <c r="B1" s="43"/>
      <c r="C1" s="43"/>
      <c r="D1" s="43"/>
      <c r="E1" s="43"/>
      <c r="F1" s="43"/>
      <c r="G1" s="43"/>
      <c r="H1" s="43"/>
      <c r="I1" s="43"/>
      <c r="J1" s="43"/>
    </row>
    <row r="2" spans="1:11" ht="30" customHeight="1" x14ac:dyDescent="0.3">
      <c r="A2" s="6" t="s">
        <v>4</v>
      </c>
      <c r="B2" s="6" t="s">
        <v>7</v>
      </c>
      <c r="C2" s="6" t="s">
        <v>9</v>
      </c>
      <c r="D2" s="6" t="s">
        <v>11</v>
      </c>
      <c r="E2" s="6" t="s">
        <v>13</v>
      </c>
      <c r="F2" s="6" t="s">
        <v>15</v>
      </c>
      <c r="G2" s="6" t="s">
        <v>17</v>
      </c>
      <c r="H2" s="6" t="s">
        <v>20</v>
      </c>
      <c r="I2" s="6" t="s">
        <v>22</v>
      </c>
      <c r="J2" s="6" t="s">
        <v>24</v>
      </c>
      <c r="K2" s="6" t="s">
        <v>67</v>
      </c>
    </row>
    <row r="3" spans="1:11" ht="14.4" x14ac:dyDescent="0.3">
      <c r="A3" s="8">
        <v>1001</v>
      </c>
      <c r="B3" s="8" t="s">
        <v>28</v>
      </c>
      <c r="C3" s="8" t="s">
        <v>29</v>
      </c>
      <c r="D3" s="8" t="s">
        <v>30</v>
      </c>
      <c r="E3" s="8" t="s">
        <v>32</v>
      </c>
      <c r="F3" s="8" t="s">
        <v>33</v>
      </c>
      <c r="G3" s="9">
        <v>6285</v>
      </c>
      <c r="H3" s="11">
        <v>17.38</v>
      </c>
      <c r="I3" s="11">
        <v>10.09</v>
      </c>
      <c r="J3" s="12">
        <v>8.6</v>
      </c>
      <c r="K3" s="15">
        <f t="shared" ref="K3:K65" si="0">H3-I3</f>
        <v>7.2899999999999991</v>
      </c>
    </row>
    <row r="4" spans="1:11" ht="14.4" x14ac:dyDescent="0.3">
      <c r="A4" s="8">
        <v>1002</v>
      </c>
      <c r="B4" s="8" t="s">
        <v>28</v>
      </c>
      <c r="C4" s="8" t="s">
        <v>29</v>
      </c>
      <c r="D4" s="8" t="s">
        <v>30</v>
      </c>
      <c r="E4" s="8" t="s">
        <v>37</v>
      </c>
      <c r="F4" s="8" t="s">
        <v>33</v>
      </c>
      <c r="G4" s="9">
        <v>5225</v>
      </c>
      <c r="H4" s="11">
        <v>10.210000000000001</v>
      </c>
      <c r="I4" s="11">
        <v>6.33</v>
      </c>
      <c r="J4" s="12">
        <v>8.1</v>
      </c>
      <c r="K4" s="15">
        <f t="shared" si="0"/>
        <v>3.8800000000000008</v>
      </c>
    </row>
    <row r="5" spans="1:11" ht="14.4" x14ac:dyDescent="0.3">
      <c r="A5" s="8">
        <v>1003</v>
      </c>
      <c r="B5" s="8" t="s">
        <v>28</v>
      </c>
      <c r="C5" s="8" t="s">
        <v>29</v>
      </c>
      <c r="D5" s="8" t="s">
        <v>40</v>
      </c>
      <c r="E5" s="8" t="s">
        <v>42</v>
      </c>
      <c r="F5" s="8" t="s">
        <v>43</v>
      </c>
      <c r="G5" s="9">
        <v>2627</v>
      </c>
      <c r="H5" s="11">
        <v>16.59</v>
      </c>
      <c r="I5" s="11">
        <v>8.33</v>
      </c>
      <c r="J5" s="12">
        <v>8.8000000000000007</v>
      </c>
      <c r="K5" s="15">
        <f t="shared" si="0"/>
        <v>8.26</v>
      </c>
    </row>
    <row r="6" spans="1:11" ht="14.4" x14ac:dyDescent="0.3">
      <c r="A6" s="8">
        <v>1004</v>
      </c>
      <c r="B6" s="8" t="s">
        <v>28</v>
      </c>
      <c r="C6" s="8" t="s">
        <v>29</v>
      </c>
      <c r="D6" s="8" t="s">
        <v>40</v>
      </c>
      <c r="E6" s="8" t="s">
        <v>46</v>
      </c>
      <c r="F6" s="8" t="s">
        <v>43</v>
      </c>
      <c r="G6" s="9">
        <v>3468</v>
      </c>
      <c r="H6" s="11">
        <v>14.3</v>
      </c>
      <c r="I6" s="11">
        <v>8.59</v>
      </c>
      <c r="J6" s="12">
        <v>6.3</v>
      </c>
      <c r="K6" s="15">
        <f t="shared" si="0"/>
        <v>5.7100000000000009</v>
      </c>
    </row>
    <row r="7" spans="1:11" ht="14.4" x14ac:dyDescent="0.3">
      <c r="A7" s="8">
        <v>1005</v>
      </c>
      <c r="B7" s="8" t="s">
        <v>28</v>
      </c>
      <c r="C7" s="8" t="s">
        <v>29</v>
      </c>
      <c r="D7" s="8" t="s">
        <v>49</v>
      </c>
      <c r="E7" s="8" t="s">
        <v>50</v>
      </c>
      <c r="F7" s="8" t="s">
        <v>43</v>
      </c>
      <c r="G7" s="9">
        <v>5318</v>
      </c>
      <c r="H7" s="11">
        <v>11.76</v>
      </c>
      <c r="I7" s="11">
        <v>8.36</v>
      </c>
      <c r="J7" s="12">
        <v>9.4</v>
      </c>
      <c r="K7" s="15">
        <f t="shared" si="0"/>
        <v>3.4000000000000004</v>
      </c>
    </row>
    <row r="8" spans="1:11" ht="14.4" x14ac:dyDescent="0.3">
      <c r="A8" s="8">
        <v>1006</v>
      </c>
      <c r="B8" s="8" t="s">
        <v>28</v>
      </c>
      <c r="C8" s="8" t="s">
        <v>29</v>
      </c>
      <c r="D8" s="8" t="s">
        <v>49</v>
      </c>
      <c r="E8" s="8" t="s">
        <v>51</v>
      </c>
      <c r="F8" s="8" t="s">
        <v>43</v>
      </c>
      <c r="G8" s="9">
        <v>1633</v>
      </c>
      <c r="H8" s="11">
        <v>1.82</v>
      </c>
      <c r="I8" s="11">
        <v>1.48</v>
      </c>
      <c r="J8" s="12">
        <v>7.3</v>
      </c>
      <c r="K8" s="15">
        <f t="shared" si="0"/>
        <v>0.34000000000000008</v>
      </c>
    </row>
    <row r="9" spans="1:11" ht="14.4" x14ac:dyDescent="0.3">
      <c r="A9" s="8">
        <v>1007</v>
      </c>
      <c r="B9" s="8" t="s">
        <v>28</v>
      </c>
      <c r="C9" s="8" t="s">
        <v>52</v>
      </c>
      <c r="D9" s="8" t="s">
        <v>30</v>
      </c>
      <c r="E9" s="8" t="s">
        <v>37</v>
      </c>
      <c r="F9" s="8" t="s">
        <v>33</v>
      </c>
      <c r="G9" s="9">
        <v>4662</v>
      </c>
      <c r="H9" s="11">
        <v>26.04</v>
      </c>
      <c r="I9" s="11">
        <v>21</v>
      </c>
      <c r="J9" s="12">
        <v>9</v>
      </c>
      <c r="K9" s="15">
        <f t="shared" si="0"/>
        <v>5.0399999999999991</v>
      </c>
    </row>
    <row r="10" spans="1:11" ht="14.4" x14ac:dyDescent="0.3">
      <c r="A10" s="8">
        <v>1008</v>
      </c>
      <c r="B10" s="8" t="s">
        <v>28</v>
      </c>
      <c r="C10" s="8" t="s">
        <v>52</v>
      </c>
      <c r="D10" s="8" t="s">
        <v>30</v>
      </c>
      <c r="E10" s="8" t="s">
        <v>32</v>
      </c>
      <c r="F10" s="8" t="s">
        <v>43</v>
      </c>
      <c r="G10" s="9">
        <v>2470</v>
      </c>
      <c r="H10" s="11">
        <v>10.92</v>
      </c>
      <c r="I10" s="11">
        <v>7.22</v>
      </c>
      <c r="J10" s="12">
        <v>6.7</v>
      </c>
      <c r="K10" s="15">
        <f t="shared" si="0"/>
        <v>3.7</v>
      </c>
    </row>
    <row r="11" spans="1:11" ht="14.4" x14ac:dyDescent="0.3">
      <c r="A11" s="8">
        <v>1009</v>
      </c>
      <c r="B11" s="8" t="s">
        <v>28</v>
      </c>
      <c r="C11" s="8" t="s">
        <v>52</v>
      </c>
      <c r="D11" s="8" t="s">
        <v>40</v>
      </c>
      <c r="E11" s="8" t="s">
        <v>53</v>
      </c>
      <c r="F11" s="8" t="s">
        <v>33</v>
      </c>
      <c r="G11" s="9">
        <v>3935</v>
      </c>
      <c r="H11" s="11">
        <v>16.5</v>
      </c>
      <c r="I11" s="11">
        <v>9.59</v>
      </c>
      <c r="J11" s="12">
        <v>9.1999999999999993</v>
      </c>
      <c r="K11" s="15">
        <f t="shared" si="0"/>
        <v>6.91</v>
      </c>
    </row>
    <row r="12" spans="1:11" ht="14.4" x14ac:dyDescent="0.3">
      <c r="A12" s="8">
        <v>1010</v>
      </c>
      <c r="B12" s="8" t="s">
        <v>28</v>
      </c>
      <c r="C12" s="8" t="s">
        <v>52</v>
      </c>
      <c r="D12" s="8" t="s">
        <v>40</v>
      </c>
      <c r="E12" s="8" t="s">
        <v>46</v>
      </c>
      <c r="F12" s="8" t="s">
        <v>33</v>
      </c>
      <c r="G12" s="9">
        <v>4795</v>
      </c>
      <c r="H12" s="11">
        <v>36.5</v>
      </c>
      <c r="I12" s="11">
        <v>20.76</v>
      </c>
      <c r="J12" s="12">
        <v>6.1</v>
      </c>
      <c r="K12" s="15">
        <f t="shared" si="0"/>
        <v>15.739999999999998</v>
      </c>
    </row>
    <row r="13" spans="1:11" ht="14.4" x14ac:dyDescent="0.3">
      <c r="A13" s="8">
        <v>1011</v>
      </c>
      <c r="B13" s="8" t="s">
        <v>28</v>
      </c>
      <c r="C13" s="8" t="s">
        <v>52</v>
      </c>
      <c r="D13" s="8" t="s">
        <v>49</v>
      </c>
      <c r="E13" s="8" t="s">
        <v>51</v>
      </c>
      <c r="F13" s="8" t="s">
        <v>43</v>
      </c>
      <c r="G13" s="9">
        <v>1258</v>
      </c>
      <c r="H13" s="11">
        <v>-2.97</v>
      </c>
      <c r="I13" s="11">
        <v>2.27</v>
      </c>
      <c r="J13" s="12">
        <v>6.7</v>
      </c>
      <c r="K13" s="15">
        <f t="shared" si="0"/>
        <v>-5.24</v>
      </c>
    </row>
    <row r="14" spans="1:11" ht="14.4" x14ac:dyDescent="0.3">
      <c r="A14" s="8">
        <v>1012</v>
      </c>
      <c r="B14" s="8" t="s">
        <v>28</v>
      </c>
      <c r="C14" s="8" t="s">
        <v>52</v>
      </c>
      <c r="D14" s="8" t="s">
        <v>49</v>
      </c>
      <c r="E14" s="8" t="s">
        <v>54</v>
      </c>
      <c r="F14" s="8" t="s">
        <v>43</v>
      </c>
      <c r="G14" s="9"/>
      <c r="H14" s="11">
        <v>7.26</v>
      </c>
      <c r="I14" s="11">
        <v>4.57</v>
      </c>
      <c r="J14" s="12">
        <v>6.9</v>
      </c>
      <c r="K14" s="15">
        <f t="shared" si="0"/>
        <v>2.6899999999999995</v>
      </c>
    </row>
    <row r="15" spans="1:11" ht="14.4" x14ac:dyDescent="0.3">
      <c r="A15" s="8">
        <v>1013</v>
      </c>
      <c r="B15" s="8" t="s">
        <v>28</v>
      </c>
      <c r="C15" s="8" t="s">
        <v>55</v>
      </c>
      <c r="D15" s="8" t="s">
        <v>30</v>
      </c>
      <c r="E15" s="8" t="s">
        <v>32</v>
      </c>
      <c r="F15" s="8" t="s">
        <v>43</v>
      </c>
      <c r="G15" s="9">
        <v>5468</v>
      </c>
      <c r="H15" s="11">
        <v>18.57</v>
      </c>
      <c r="I15" s="11">
        <v>15.77</v>
      </c>
      <c r="J15" s="12">
        <v>7.8</v>
      </c>
      <c r="K15" s="15">
        <f t="shared" si="0"/>
        <v>2.8000000000000007</v>
      </c>
    </row>
    <row r="16" spans="1:11" ht="14.4" x14ac:dyDescent="0.3">
      <c r="A16" s="8">
        <v>1014</v>
      </c>
      <c r="B16" s="8" t="s">
        <v>28</v>
      </c>
      <c r="C16" s="8" t="s">
        <v>55</v>
      </c>
      <c r="D16" s="8" t="s">
        <v>30</v>
      </c>
      <c r="E16" s="8" t="s">
        <v>56</v>
      </c>
      <c r="F16" s="8" t="s">
        <v>33</v>
      </c>
      <c r="G16" s="9">
        <v>4730</v>
      </c>
      <c r="H16" s="11">
        <v>23.96</v>
      </c>
      <c r="I16" s="11"/>
      <c r="J16" s="12">
        <v>8.4</v>
      </c>
      <c r="K16" s="15">
        <f t="shared" si="0"/>
        <v>23.96</v>
      </c>
    </row>
    <row r="17" spans="1:11" ht="14.4" x14ac:dyDescent="0.3">
      <c r="A17" s="8">
        <v>1015</v>
      </c>
      <c r="B17" s="8" t="s">
        <v>28</v>
      </c>
      <c r="C17" s="8" t="s">
        <v>55</v>
      </c>
      <c r="D17" s="8" t="s">
        <v>40</v>
      </c>
      <c r="E17" s="8" t="s">
        <v>42</v>
      </c>
      <c r="F17" s="8" t="s">
        <v>43</v>
      </c>
      <c r="G17" s="9">
        <v>2784</v>
      </c>
      <c r="H17" s="11">
        <v>22.35</v>
      </c>
      <c r="I17" s="11">
        <v>17.690000000000001</v>
      </c>
      <c r="J17" s="12">
        <v>9</v>
      </c>
      <c r="K17" s="15">
        <f t="shared" si="0"/>
        <v>4.66</v>
      </c>
    </row>
    <row r="18" spans="1:11" ht="14.4" x14ac:dyDescent="0.3">
      <c r="A18" s="8">
        <v>1016</v>
      </c>
      <c r="B18" s="8" t="s">
        <v>28</v>
      </c>
      <c r="C18" s="8" t="s">
        <v>55</v>
      </c>
      <c r="D18" s="8" t="s">
        <v>40</v>
      </c>
      <c r="E18" s="8" t="s">
        <v>46</v>
      </c>
      <c r="F18" s="8" t="s">
        <v>33</v>
      </c>
      <c r="G18" s="9">
        <v>4337</v>
      </c>
      <c r="H18" s="11">
        <v>16.690000000000001</v>
      </c>
      <c r="I18" s="11">
        <v>12.1</v>
      </c>
      <c r="J18" s="12">
        <v>8.6999999999999993</v>
      </c>
      <c r="K18" s="15">
        <f t="shared" si="0"/>
        <v>4.5900000000000016</v>
      </c>
    </row>
    <row r="19" spans="1:11" ht="14.4" x14ac:dyDescent="0.3">
      <c r="A19" s="8">
        <v>1017</v>
      </c>
      <c r="B19" s="8" t="s">
        <v>28</v>
      </c>
      <c r="C19" s="8" t="s">
        <v>55</v>
      </c>
      <c r="D19" s="8" t="s">
        <v>49</v>
      </c>
      <c r="E19" s="8" t="s">
        <v>51</v>
      </c>
      <c r="F19" s="8" t="s">
        <v>43</v>
      </c>
      <c r="G19" s="9">
        <v>3060</v>
      </c>
      <c r="H19" s="11">
        <v>4.7</v>
      </c>
      <c r="I19" s="11">
        <v>3.82</v>
      </c>
      <c r="J19" s="12">
        <v>6.9</v>
      </c>
      <c r="K19" s="15">
        <f t="shared" si="0"/>
        <v>0.88000000000000034</v>
      </c>
    </row>
    <row r="20" spans="1:11" ht="14.4" x14ac:dyDescent="0.3">
      <c r="A20" s="8">
        <v>1018</v>
      </c>
      <c r="B20" s="8" t="s">
        <v>28</v>
      </c>
      <c r="C20" s="8" t="s">
        <v>55</v>
      </c>
      <c r="D20" s="8" t="s">
        <v>49</v>
      </c>
      <c r="E20" s="8" t="s">
        <v>50</v>
      </c>
      <c r="F20" s="8" t="s">
        <v>57</v>
      </c>
      <c r="G20" s="9">
        <v>3439</v>
      </c>
      <c r="H20" s="11">
        <v>2.5099999999999998</v>
      </c>
      <c r="I20" s="11">
        <v>2.0099999999999998</v>
      </c>
      <c r="J20" s="12">
        <v>7.8</v>
      </c>
      <c r="K20" s="15">
        <f t="shared" si="0"/>
        <v>0.5</v>
      </c>
    </row>
    <row r="21" spans="1:11" ht="15.75" customHeight="1" x14ac:dyDescent="0.3">
      <c r="A21" s="8">
        <v>1019</v>
      </c>
      <c r="B21" s="8" t="s">
        <v>28</v>
      </c>
      <c r="C21" s="8" t="s">
        <v>58</v>
      </c>
      <c r="D21" s="8" t="s">
        <v>30</v>
      </c>
      <c r="E21" s="8" t="s">
        <v>37</v>
      </c>
      <c r="F21" s="8" t="s">
        <v>43</v>
      </c>
      <c r="G21" s="9">
        <v>3097</v>
      </c>
      <c r="H21" s="11">
        <v>13.59</v>
      </c>
      <c r="I21" s="11">
        <v>9.64</v>
      </c>
      <c r="J21" s="12">
        <v>6</v>
      </c>
      <c r="K21" s="15">
        <f t="shared" si="0"/>
        <v>3.9499999999999993</v>
      </c>
    </row>
    <row r="22" spans="1:11" ht="15.75" customHeight="1" x14ac:dyDescent="0.3">
      <c r="A22" s="8">
        <v>1020</v>
      </c>
      <c r="B22" s="8" t="s">
        <v>28</v>
      </c>
      <c r="C22" s="8" t="s">
        <v>58</v>
      </c>
      <c r="D22" s="8" t="s">
        <v>30</v>
      </c>
      <c r="E22" s="8" t="s">
        <v>32</v>
      </c>
      <c r="F22" s="8" t="s">
        <v>43</v>
      </c>
      <c r="G22" s="9">
        <v>2171</v>
      </c>
      <c r="H22" s="11">
        <v>5.17</v>
      </c>
      <c r="I22" s="11">
        <v>4.37</v>
      </c>
      <c r="J22" s="12">
        <v>8.8000000000000007</v>
      </c>
      <c r="K22" s="15">
        <f t="shared" si="0"/>
        <v>0.79999999999999982</v>
      </c>
    </row>
    <row r="23" spans="1:11" ht="15.75" customHeight="1" x14ac:dyDescent="0.3">
      <c r="A23" s="8">
        <v>1021</v>
      </c>
      <c r="B23" s="8" t="s">
        <v>28</v>
      </c>
      <c r="C23" s="8" t="s">
        <v>58</v>
      </c>
      <c r="D23" s="8" t="s">
        <v>40</v>
      </c>
      <c r="E23" s="8" t="s">
        <v>46</v>
      </c>
      <c r="F23" s="8" t="s">
        <v>33</v>
      </c>
      <c r="G23" s="9">
        <v>3487</v>
      </c>
      <c r="H23" s="11">
        <v>24.74</v>
      </c>
      <c r="I23" s="11">
        <v>15.98</v>
      </c>
      <c r="J23" s="12">
        <v>6.2</v>
      </c>
      <c r="K23" s="15">
        <f t="shared" si="0"/>
        <v>8.759999999999998</v>
      </c>
    </row>
    <row r="24" spans="1:11" ht="15.75" customHeight="1" x14ac:dyDescent="0.3">
      <c r="A24" s="8">
        <v>1022</v>
      </c>
      <c r="B24" s="8" t="s">
        <v>28</v>
      </c>
      <c r="C24" s="8" t="s">
        <v>58</v>
      </c>
      <c r="D24" s="8" t="s">
        <v>40</v>
      </c>
      <c r="E24" s="8" t="s">
        <v>42</v>
      </c>
      <c r="F24" s="8" t="s">
        <v>33</v>
      </c>
      <c r="G24" s="9">
        <v>953</v>
      </c>
      <c r="H24" s="11">
        <v>5.17</v>
      </c>
      <c r="I24" s="11">
        <v>3</v>
      </c>
      <c r="J24" s="12">
        <v>9.1</v>
      </c>
      <c r="K24" s="15">
        <f t="shared" si="0"/>
        <v>2.17</v>
      </c>
    </row>
    <row r="25" spans="1:11" ht="15.75" customHeight="1" x14ac:dyDescent="0.3">
      <c r="A25" s="8">
        <v>1023</v>
      </c>
      <c r="B25" s="8" t="s">
        <v>28</v>
      </c>
      <c r="C25" s="8" t="s">
        <v>58</v>
      </c>
      <c r="D25" s="8" t="s">
        <v>49</v>
      </c>
      <c r="E25" s="8" t="s">
        <v>51</v>
      </c>
      <c r="F25" s="8" t="s">
        <v>57</v>
      </c>
      <c r="G25" s="9">
        <v>2929</v>
      </c>
      <c r="H25" s="11">
        <v>3.93</v>
      </c>
      <c r="I25" s="11">
        <v>2.6</v>
      </c>
      <c r="J25" s="12">
        <v>9.1</v>
      </c>
      <c r="K25" s="15">
        <f t="shared" si="0"/>
        <v>1.33</v>
      </c>
    </row>
    <row r="26" spans="1:11" ht="15.75" customHeight="1" x14ac:dyDescent="0.3">
      <c r="A26" s="8">
        <v>1024</v>
      </c>
      <c r="B26" s="8" t="s">
        <v>28</v>
      </c>
      <c r="C26" s="8" t="s">
        <v>58</v>
      </c>
      <c r="D26" s="8" t="s">
        <v>49</v>
      </c>
      <c r="E26" s="8" t="s">
        <v>50</v>
      </c>
      <c r="F26" s="8" t="s">
        <v>43</v>
      </c>
      <c r="G26" s="9">
        <v>928</v>
      </c>
      <c r="H26" s="11">
        <v>0.85</v>
      </c>
      <c r="I26" s="11">
        <v>0.62</v>
      </c>
      <c r="J26" s="12">
        <v>6.8</v>
      </c>
      <c r="K26" s="15">
        <f t="shared" si="0"/>
        <v>0.22999999999999998</v>
      </c>
    </row>
    <row r="27" spans="1:11" ht="15.75" customHeight="1" x14ac:dyDescent="0.3">
      <c r="A27" s="8">
        <v>1025</v>
      </c>
      <c r="B27" s="8" t="s">
        <v>28</v>
      </c>
      <c r="C27" s="8" t="s">
        <v>59</v>
      </c>
      <c r="D27" s="8" t="s">
        <v>30</v>
      </c>
      <c r="E27" s="8" t="s">
        <v>37</v>
      </c>
      <c r="F27" s="8" t="s">
        <v>33</v>
      </c>
      <c r="G27" s="9">
        <v>2464</v>
      </c>
      <c r="H27" s="11">
        <v>5.03</v>
      </c>
      <c r="I27" s="11">
        <v>2.81</v>
      </c>
      <c r="J27" s="12">
        <v>6.8</v>
      </c>
      <c r="K27" s="15">
        <f t="shared" si="0"/>
        <v>2.2200000000000002</v>
      </c>
    </row>
    <row r="28" spans="1:11" ht="15.75" customHeight="1" x14ac:dyDescent="0.3">
      <c r="A28" s="8">
        <v>1026</v>
      </c>
      <c r="B28" s="8" t="s">
        <v>28</v>
      </c>
      <c r="C28" s="8" t="s">
        <v>59</v>
      </c>
      <c r="D28" s="8" t="s">
        <v>30</v>
      </c>
      <c r="E28" s="8" t="s">
        <v>32</v>
      </c>
      <c r="F28" s="8" t="s">
        <v>33</v>
      </c>
      <c r="G28" s="9">
        <v>1236</v>
      </c>
      <c r="H28" s="11">
        <v>4.91</v>
      </c>
      <c r="I28" s="11">
        <v>3.77</v>
      </c>
      <c r="J28" s="12">
        <v>8.6999999999999993</v>
      </c>
      <c r="K28" s="15">
        <f t="shared" si="0"/>
        <v>1.1400000000000001</v>
      </c>
    </row>
    <row r="29" spans="1:11" ht="15.75" customHeight="1" x14ac:dyDescent="0.3">
      <c r="A29" s="8">
        <v>1027</v>
      </c>
      <c r="B29" s="8" t="s">
        <v>28</v>
      </c>
      <c r="C29" s="8" t="s">
        <v>59</v>
      </c>
      <c r="D29" s="8" t="s">
        <v>40</v>
      </c>
      <c r="E29" s="8" t="s">
        <v>42</v>
      </c>
      <c r="F29" s="8" t="s">
        <v>33</v>
      </c>
      <c r="G29" s="9">
        <v>2684</v>
      </c>
      <c r="H29" s="11">
        <v>17.72</v>
      </c>
      <c r="I29" s="11">
        <v>9.3800000000000008</v>
      </c>
      <c r="J29" s="12">
        <v>7.1</v>
      </c>
      <c r="K29" s="15">
        <f t="shared" si="0"/>
        <v>8.3399999999999981</v>
      </c>
    </row>
    <row r="30" spans="1:11" ht="15.75" customHeight="1" x14ac:dyDescent="0.3">
      <c r="A30" s="8">
        <v>1028</v>
      </c>
      <c r="B30" s="8" t="s">
        <v>28</v>
      </c>
      <c r="C30" s="8" t="s">
        <v>59</v>
      </c>
      <c r="D30" s="8" t="s">
        <v>40</v>
      </c>
      <c r="E30" s="8" t="s">
        <v>53</v>
      </c>
      <c r="F30" s="8" t="s">
        <v>43</v>
      </c>
      <c r="G30" s="9">
        <v>1615</v>
      </c>
      <c r="H30" s="11">
        <v>10.77</v>
      </c>
      <c r="I30" s="11">
        <v>-7.5</v>
      </c>
      <c r="J30" s="12">
        <v>7.9</v>
      </c>
      <c r="K30" s="15">
        <f t="shared" si="0"/>
        <v>18.27</v>
      </c>
    </row>
    <row r="31" spans="1:11" ht="15.75" customHeight="1" x14ac:dyDescent="0.3">
      <c r="A31" s="8">
        <v>1029</v>
      </c>
      <c r="B31" s="8" t="s">
        <v>28</v>
      </c>
      <c r="C31" s="8" t="s">
        <v>59</v>
      </c>
      <c r="D31" s="8" t="s">
        <v>49</v>
      </c>
      <c r="E31" s="8" t="s">
        <v>50</v>
      </c>
      <c r="F31" s="8" t="s">
        <v>43</v>
      </c>
      <c r="G31" s="9">
        <v>2729</v>
      </c>
      <c r="H31" s="11">
        <v>1.84</v>
      </c>
      <c r="I31" s="11">
        <v>1.31</v>
      </c>
      <c r="J31" s="12">
        <v>6.1</v>
      </c>
      <c r="K31" s="15">
        <f t="shared" si="0"/>
        <v>0.53</v>
      </c>
    </row>
    <row r="32" spans="1:11" ht="15.75" customHeight="1" x14ac:dyDescent="0.3">
      <c r="A32" s="8">
        <v>1030</v>
      </c>
      <c r="B32" s="8" t="s">
        <v>28</v>
      </c>
      <c r="C32" s="8" t="s">
        <v>59</v>
      </c>
      <c r="D32" s="8" t="s">
        <v>49</v>
      </c>
      <c r="E32" s="8" t="s">
        <v>51</v>
      </c>
      <c r="F32" s="8" t="s">
        <v>57</v>
      </c>
      <c r="G32" s="9">
        <v>1236</v>
      </c>
      <c r="H32" s="11">
        <v>1.34</v>
      </c>
      <c r="I32" s="11">
        <v>0.92</v>
      </c>
      <c r="J32" s="12">
        <v>8.6</v>
      </c>
      <c r="K32" s="15">
        <f t="shared" si="0"/>
        <v>0.42000000000000004</v>
      </c>
    </row>
    <row r="33" spans="1:11" ht="15.75" customHeight="1" x14ac:dyDescent="0.3">
      <c r="A33" s="8">
        <v>1031</v>
      </c>
      <c r="B33" s="8" t="s">
        <v>60</v>
      </c>
      <c r="C33" s="8" t="s">
        <v>29</v>
      </c>
      <c r="D33" s="8" t="s">
        <v>30</v>
      </c>
      <c r="E33" s="8" t="s">
        <v>32</v>
      </c>
      <c r="F33" s="8" t="s">
        <v>33</v>
      </c>
      <c r="G33" s="9">
        <v>5856</v>
      </c>
      <c r="H33" s="11">
        <v>22.01</v>
      </c>
      <c r="I33" s="11">
        <v>12.72</v>
      </c>
      <c r="J33" s="12">
        <v>8.6</v>
      </c>
      <c r="K33" s="15">
        <f t="shared" si="0"/>
        <v>9.2900000000000009</v>
      </c>
    </row>
    <row r="34" spans="1:11" ht="15.75" customHeight="1" x14ac:dyDescent="0.3">
      <c r="A34" s="8">
        <v>1032</v>
      </c>
      <c r="B34" s="8" t="s">
        <v>60</v>
      </c>
      <c r="C34" s="8" t="s">
        <v>29</v>
      </c>
      <c r="D34" s="8" t="s">
        <v>30</v>
      </c>
      <c r="E34" s="8" t="s">
        <v>37</v>
      </c>
      <c r="F34" s="8" t="s">
        <v>33</v>
      </c>
      <c r="G34" s="9">
        <v>2326</v>
      </c>
      <c r="H34" s="11">
        <v>8.65</v>
      </c>
      <c r="I34" s="11">
        <v>5.8</v>
      </c>
      <c r="J34" s="12">
        <v>6.2</v>
      </c>
      <c r="K34" s="15">
        <f t="shared" si="0"/>
        <v>2.8500000000000005</v>
      </c>
    </row>
    <row r="35" spans="1:11" ht="15.75" customHeight="1" x14ac:dyDescent="0.3">
      <c r="A35" s="8">
        <v>1033</v>
      </c>
      <c r="B35" s="8" t="s">
        <v>60</v>
      </c>
      <c r="C35" s="8" t="s">
        <v>29</v>
      </c>
      <c r="D35" s="8" t="s">
        <v>40</v>
      </c>
      <c r="E35" s="8" t="s">
        <v>53</v>
      </c>
      <c r="F35" s="8" t="s">
        <v>43</v>
      </c>
      <c r="G35" s="9">
        <v>3044</v>
      </c>
      <c r="H35" s="11">
        <v>20.88</v>
      </c>
      <c r="I35" s="11">
        <v>13.09</v>
      </c>
      <c r="J35" s="12">
        <v>9.4</v>
      </c>
      <c r="K35" s="15">
        <f t="shared" si="0"/>
        <v>7.7899999999999991</v>
      </c>
    </row>
    <row r="36" spans="1:11" ht="15.75" customHeight="1" x14ac:dyDescent="0.3">
      <c r="A36" s="8">
        <v>1034</v>
      </c>
      <c r="B36" s="8" t="s">
        <v>60</v>
      </c>
      <c r="C36" s="8" t="s">
        <v>29</v>
      </c>
      <c r="D36" s="8" t="s">
        <v>40</v>
      </c>
      <c r="E36" s="8" t="s">
        <v>46</v>
      </c>
      <c r="F36" s="8" t="s">
        <v>43</v>
      </c>
      <c r="G36" s="9">
        <v>2242</v>
      </c>
      <c r="H36" s="11">
        <v>10.99</v>
      </c>
      <c r="I36" s="11">
        <v>7.4</v>
      </c>
      <c r="J36" s="12">
        <v>7.9</v>
      </c>
      <c r="K36" s="15">
        <f t="shared" si="0"/>
        <v>3.59</v>
      </c>
    </row>
    <row r="37" spans="1:11" ht="15.75" customHeight="1" x14ac:dyDescent="0.3">
      <c r="A37" s="8">
        <v>1035</v>
      </c>
      <c r="B37" s="8" t="s">
        <v>60</v>
      </c>
      <c r="C37" s="8" t="s">
        <v>29</v>
      </c>
      <c r="D37" s="8" t="s">
        <v>49</v>
      </c>
      <c r="E37" s="8" t="s">
        <v>54</v>
      </c>
      <c r="F37" s="8" t="s">
        <v>57</v>
      </c>
      <c r="G37" s="9">
        <v>1482</v>
      </c>
      <c r="H37" s="11">
        <v>2.33</v>
      </c>
      <c r="I37" s="11">
        <v>1.65</v>
      </c>
      <c r="J37" s="12">
        <v>6.2</v>
      </c>
      <c r="K37" s="15">
        <f t="shared" si="0"/>
        <v>0.68000000000000016</v>
      </c>
    </row>
    <row r="38" spans="1:11" ht="15.75" customHeight="1" x14ac:dyDescent="0.3">
      <c r="A38" s="8">
        <v>1036</v>
      </c>
      <c r="B38" s="8" t="s">
        <v>60</v>
      </c>
      <c r="C38" s="8" t="s">
        <v>29</v>
      </c>
      <c r="D38" s="8" t="s">
        <v>49</v>
      </c>
      <c r="E38" s="8" t="s">
        <v>51</v>
      </c>
      <c r="F38" s="8" t="s">
        <v>57</v>
      </c>
      <c r="G38" s="9">
        <v>7303</v>
      </c>
      <c r="H38" s="11"/>
      <c r="I38" s="11">
        <v>3.44</v>
      </c>
      <c r="J38" s="12">
        <v>7.4</v>
      </c>
      <c r="K38" s="15">
        <f t="shared" si="0"/>
        <v>-3.44</v>
      </c>
    </row>
    <row r="39" spans="1:11" ht="15.75" customHeight="1" x14ac:dyDescent="0.3">
      <c r="A39" s="8">
        <v>1037</v>
      </c>
      <c r="B39" s="8" t="s">
        <v>60</v>
      </c>
      <c r="C39" s="8" t="s">
        <v>52</v>
      </c>
      <c r="D39" s="8" t="s">
        <v>30</v>
      </c>
      <c r="E39" s="8" t="s">
        <v>32</v>
      </c>
      <c r="F39" s="8" t="s">
        <v>33</v>
      </c>
      <c r="G39" s="9">
        <v>4577</v>
      </c>
      <c r="H39" s="11">
        <v>17.11</v>
      </c>
      <c r="I39" s="11">
        <v>12.09</v>
      </c>
      <c r="J39" s="12">
        <v>9.3000000000000007</v>
      </c>
      <c r="K39" s="15">
        <f t="shared" si="0"/>
        <v>5.0199999999999996</v>
      </c>
    </row>
    <row r="40" spans="1:11" ht="15.75" customHeight="1" x14ac:dyDescent="0.3">
      <c r="A40" s="8">
        <v>1038</v>
      </c>
      <c r="B40" s="8" t="s">
        <v>60</v>
      </c>
      <c r="C40" s="8" t="s">
        <v>52</v>
      </c>
      <c r="D40" s="8" t="s">
        <v>30</v>
      </c>
      <c r="E40" s="8" t="s">
        <v>37</v>
      </c>
      <c r="F40" s="8" t="s">
        <v>33</v>
      </c>
      <c r="G40" s="9">
        <v>4875</v>
      </c>
      <c r="H40" s="11">
        <v>15.13</v>
      </c>
      <c r="I40" s="11">
        <v>8.92</v>
      </c>
      <c r="J40" s="12">
        <v>8.3000000000000007</v>
      </c>
      <c r="K40" s="15">
        <f t="shared" si="0"/>
        <v>6.2100000000000009</v>
      </c>
    </row>
    <row r="41" spans="1:11" ht="15.75" customHeight="1" x14ac:dyDescent="0.3">
      <c r="A41" s="8">
        <v>1040</v>
      </c>
      <c r="B41" s="8" t="s">
        <v>60</v>
      </c>
      <c r="C41" s="8" t="s">
        <v>52</v>
      </c>
      <c r="D41" s="8" t="s">
        <v>40</v>
      </c>
      <c r="E41" s="8" t="s">
        <v>42</v>
      </c>
      <c r="F41" s="8" t="s">
        <v>43</v>
      </c>
      <c r="G41" s="9">
        <v>1694</v>
      </c>
      <c r="H41" s="11">
        <v>7.34</v>
      </c>
      <c r="I41" s="11">
        <v>4.21</v>
      </c>
      <c r="J41" s="12">
        <v>7</v>
      </c>
      <c r="K41" s="15">
        <f t="shared" si="0"/>
        <v>3.13</v>
      </c>
    </row>
    <row r="42" spans="1:11" ht="15.75" customHeight="1" x14ac:dyDescent="0.3">
      <c r="A42" s="8">
        <v>1041</v>
      </c>
      <c r="B42" s="8" t="s">
        <v>60</v>
      </c>
      <c r="C42" s="8" t="s">
        <v>52</v>
      </c>
      <c r="D42" s="8" t="s">
        <v>49</v>
      </c>
      <c r="E42" s="8" t="s">
        <v>51</v>
      </c>
      <c r="F42" s="8" t="s">
        <v>57</v>
      </c>
      <c r="G42" s="9">
        <v>4864</v>
      </c>
      <c r="H42" s="11">
        <v>8.5</v>
      </c>
      <c r="I42" s="11">
        <v>4.9400000000000004</v>
      </c>
      <c r="J42" s="12">
        <v>9.1</v>
      </c>
      <c r="K42" s="15">
        <f t="shared" si="0"/>
        <v>3.5599999999999996</v>
      </c>
    </row>
    <row r="43" spans="1:11" ht="15.75" customHeight="1" x14ac:dyDescent="0.3">
      <c r="A43" s="8">
        <v>1042</v>
      </c>
      <c r="B43" s="8" t="s">
        <v>60</v>
      </c>
      <c r="C43" s="8" t="s">
        <v>52</v>
      </c>
      <c r="D43" s="8" t="s">
        <v>49</v>
      </c>
      <c r="E43" s="8" t="s">
        <v>54</v>
      </c>
      <c r="F43" s="8" t="s">
        <v>43</v>
      </c>
      <c r="G43" s="9">
        <v>1594</v>
      </c>
      <c r="H43" s="11">
        <v>1.1499999999999999</v>
      </c>
      <c r="I43" s="11">
        <v>0.73</v>
      </c>
      <c r="J43" s="12">
        <v>8.1</v>
      </c>
      <c r="K43" s="15">
        <f t="shared" si="0"/>
        <v>0.41999999999999993</v>
      </c>
    </row>
    <row r="44" spans="1:11" ht="15.75" customHeight="1" x14ac:dyDescent="0.3">
      <c r="A44" s="8">
        <v>1043</v>
      </c>
      <c r="B44" s="8" t="s">
        <v>60</v>
      </c>
      <c r="C44" s="8" t="s">
        <v>55</v>
      </c>
      <c r="D44" s="8" t="s">
        <v>30</v>
      </c>
      <c r="E44" s="8" t="s">
        <v>32</v>
      </c>
      <c r="F44" s="8" t="s">
        <v>33</v>
      </c>
      <c r="G44" s="9">
        <v>4528</v>
      </c>
      <c r="H44" s="11">
        <v>24.53</v>
      </c>
      <c r="I44" s="11">
        <v>15.34</v>
      </c>
      <c r="J44" s="12">
        <v>9.1999999999999993</v>
      </c>
      <c r="K44" s="15">
        <f t="shared" si="0"/>
        <v>9.1900000000000013</v>
      </c>
    </row>
    <row r="45" spans="1:11" ht="15.75" customHeight="1" x14ac:dyDescent="0.3">
      <c r="A45" s="8">
        <v>1044</v>
      </c>
      <c r="B45" s="8" t="s">
        <v>60</v>
      </c>
      <c r="C45" s="8" t="s">
        <v>55</v>
      </c>
      <c r="D45" s="8" t="s">
        <v>30</v>
      </c>
      <c r="E45" s="8" t="s">
        <v>56</v>
      </c>
      <c r="F45" s="8" t="s">
        <v>33</v>
      </c>
      <c r="G45" s="9">
        <v>1324</v>
      </c>
      <c r="H45" s="11">
        <v>4.67</v>
      </c>
      <c r="I45" s="11">
        <v>2.57</v>
      </c>
      <c r="J45" s="12">
        <v>8.6999999999999993</v>
      </c>
      <c r="K45" s="15">
        <f t="shared" si="0"/>
        <v>2.1</v>
      </c>
    </row>
    <row r="46" spans="1:11" ht="15.75" customHeight="1" x14ac:dyDescent="0.3">
      <c r="A46" s="8">
        <v>1045</v>
      </c>
      <c r="B46" s="8" t="s">
        <v>60</v>
      </c>
      <c r="C46" s="8" t="s">
        <v>55</v>
      </c>
      <c r="D46" s="8" t="s">
        <v>40</v>
      </c>
      <c r="E46" s="8" t="s">
        <v>42</v>
      </c>
      <c r="F46" s="8" t="s">
        <v>33</v>
      </c>
      <c r="G46" s="9">
        <v>4817</v>
      </c>
      <c r="H46" s="11">
        <v>27.34</v>
      </c>
      <c r="I46" s="11">
        <v>13.75</v>
      </c>
      <c r="J46" s="12">
        <v>6.3</v>
      </c>
      <c r="K46" s="15">
        <f t="shared" si="0"/>
        <v>13.59</v>
      </c>
    </row>
    <row r="47" spans="1:11" ht="15.75" customHeight="1" x14ac:dyDescent="0.3">
      <c r="A47" s="8">
        <v>1046</v>
      </c>
      <c r="B47" s="8" t="s">
        <v>60</v>
      </c>
      <c r="C47" s="8" t="s">
        <v>55</v>
      </c>
      <c r="D47" s="8" t="s">
        <v>40</v>
      </c>
      <c r="E47" s="8" t="s">
        <v>53</v>
      </c>
      <c r="F47" s="8" t="s">
        <v>33</v>
      </c>
      <c r="G47" s="9">
        <v>3764</v>
      </c>
      <c r="H47" s="11">
        <v>27.44</v>
      </c>
      <c r="I47" s="11">
        <v>14.94</v>
      </c>
      <c r="J47" s="12">
        <v>6.4</v>
      </c>
      <c r="K47" s="15">
        <f t="shared" si="0"/>
        <v>12.500000000000002</v>
      </c>
    </row>
    <row r="48" spans="1:11" ht="15.75" customHeight="1" x14ac:dyDescent="0.3">
      <c r="A48" s="8">
        <v>1047</v>
      </c>
      <c r="B48" s="8" t="s">
        <v>60</v>
      </c>
      <c r="C48" s="8" t="s">
        <v>55</v>
      </c>
      <c r="D48" s="8" t="s">
        <v>49</v>
      </c>
      <c r="E48" s="8" t="s">
        <v>51</v>
      </c>
      <c r="F48" s="8" t="s">
        <v>57</v>
      </c>
      <c r="G48" s="9">
        <v>5666</v>
      </c>
      <c r="H48" s="11">
        <v>4.95</v>
      </c>
      <c r="I48" s="11">
        <v>2.88</v>
      </c>
      <c r="J48" s="12">
        <v>8.6999999999999993</v>
      </c>
      <c r="K48" s="15">
        <f t="shared" si="0"/>
        <v>2.0700000000000003</v>
      </c>
    </row>
    <row r="49" spans="1:11" ht="15.75" customHeight="1" x14ac:dyDescent="0.3">
      <c r="A49" s="8">
        <v>1048</v>
      </c>
      <c r="B49" s="8" t="s">
        <v>60</v>
      </c>
      <c r="C49" s="8" t="s">
        <v>55</v>
      </c>
      <c r="D49" s="8" t="s">
        <v>49</v>
      </c>
      <c r="E49" s="8" t="s">
        <v>54</v>
      </c>
      <c r="F49" s="8" t="s">
        <v>43</v>
      </c>
      <c r="G49" s="9">
        <v>6069</v>
      </c>
      <c r="H49" s="11">
        <v>13.16</v>
      </c>
      <c r="I49" s="11">
        <v>8.17</v>
      </c>
      <c r="J49" s="12">
        <v>6.6</v>
      </c>
      <c r="K49" s="15">
        <f t="shared" si="0"/>
        <v>4.99</v>
      </c>
    </row>
    <row r="50" spans="1:11" ht="15.75" customHeight="1" x14ac:dyDescent="0.3">
      <c r="A50" s="8">
        <v>1049</v>
      </c>
      <c r="B50" s="8" t="s">
        <v>60</v>
      </c>
      <c r="C50" s="8" t="s">
        <v>58</v>
      </c>
      <c r="D50" s="8" t="s">
        <v>30</v>
      </c>
      <c r="E50" s="8" t="s">
        <v>37</v>
      </c>
      <c r="F50" s="8" t="s">
        <v>33</v>
      </c>
      <c r="G50" s="9">
        <v>1165</v>
      </c>
      <c r="H50" s="11">
        <v>7.01</v>
      </c>
      <c r="I50" s="11">
        <v>4.72</v>
      </c>
      <c r="J50" s="12">
        <v>8.3000000000000007</v>
      </c>
      <c r="K50" s="15">
        <f t="shared" si="0"/>
        <v>2.29</v>
      </c>
    </row>
    <row r="51" spans="1:11" ht="15.75" customHeight="1" x14ac:dyDescent="0.3">
      <c r="A51" s="8">
        <v>1050</v>
      </c>
      <c r="B51" s="8" t="s">
        <v>60</v>
      </c>
      <c r="C51" s="8" t="s">
        <v>58</v>
      </c>
      <c r="D51" s="8" t="s">
        <v>30</v>
      </c>
      <c r="E51" s="8" t="s">
        <v>56</v>
      </c>
      <c r="F51" s="8" t="s">
        <v>33</v>
      </c>
      <c r="G51" s="9">
        <v>1471</v>
      </c>
      <c r="H51" s="11">
        <v>6.98</v>
      </c>
      <c r="I51" s="11">
        <v>5.67</v>
      </c>
      <c r="J51" s="12">
        <v>9</v>
      </c>
      <c r="K51" s="15">
        <f t="shared" si="0"/>
        <v>1.3100000000000005</v>
      </c>
    </row>
    <row r="52" spans="1:11" ht="15.75" customHeight="1" x14ac:dyDescent="0.3">
      <c r="A52" s="8">
        <v>1051</v>
      </c>
      <c r="B52" s="8" t="s">
        <v>60</v>
      </c>
      <c r="C52" s="8" t="s">
        <v>58</v>
      </c>
      <c r="D52" s="8" t="s">
        <v>40</v>
      </c>
      <c r="E52" s="8" t="s">
        <v>46</v>
      </c>
      <c r="F52" s="8" t="s">
        <v>43</v>
      </c>
      <c r="G52" s="9">
        <v>1761</v>
      </c>
      <c r="H52" s="11">
        <v>13.44</v>
      </c>
      <c r="I52" s="11">
        <v>7.62</v>
      </c>
      <c r="J52" s="12">
        <v>8.3000000000000007</v>
      </c>
      <c r="K52" s="15">
        <f t="shared" si="0"/>
        <v>5.8199999999999994</v>
      </c>
    </row>
    <row r="53" spans="1:11" ht="15.75" customHeight="1" x14ac:dyDescent="0.3">
      <c r="A53" s="8">
        <v>1052</v>
      </c>
      <c r="B53" s="8" t="s">
        <v>60</v>
      </c>
      <c r="C53" s="8" t="s">
        <v>58</v>
      </c>
      <c r="D53" s="8" t="s">
        <v>40</v>
      </c>
      <c r="E53" s="8" t="s">
        <v>42</v>
      </c>
      <c r="F53" s="8" t="s">
        <v>43</v>
      </c>
      <c r="G53" s="9">
        <v>1686</v>
      </c>
      <c r="H53" s="11">
        <v>13.5</v>
      </c>
      <c r="I53" s="11">
        <v>-7.88</v>
      </c>
      <c r="J53" s="12">
        <v>8.1999999999999993</v>
      </c>
      <c r="K53" s="15">
        <f t="shared" si="0"/>
        <v>21.38</v>
      </c>
    </row>
    <row r="54" spans="1:11" ht="15.75" customHeight="1" x14ac:dyDescent="0.3">
      <c r="A54" s="8">
        <v>1053</v>
      </c>
      <c r="B54" s="8" t="s">
        <v>60</v>
      </c>
      <c r="C54" s="8" t="s">
        <v>58</v>
      </c>
      <c r="D54" s="8" t="s">
        <v>49</v>
      </c>
      <c r="E54" s="8" t="s">
        <v>51</v>
      </c>
      <c r="F54" s="8" t="s">
        <v>57</v>
      </c>
      <c r="G54" s="9">
        <v>941</v>
      </c>
      <c r="H54" s="11">
        <v>2.15</v>
      </c>
      <c r="I54" s="11">
        <v>1.8</v>
      </c>
      <c r="J54" s="12">
        <v>6.9</v>
      </c>
      <c r="K54" s="15">
        <f t="shared" si="0"/>
        <v>0.34999999999999987</v>
      </c>
    </row>
    <row r="55" spans="1:11" ht="15.75" customHeight="1" x14ac:dyDescent="0.3">
      <c r="A55" s="8">
        <v>1054</v>
      </c>
      <c r="B55" s="8" t="s">
        <v>60</v>
      </c>
      <c r="C55" s="8" t="s">
        <v>58</v>
      </c>
      <c r="D55" s="8" t="s">
        <v>49</v>
      </c>
      <c r="E55" s="8" t="s">
        <v>54</v>
      </c>
      <c r="F55" s="8" t="s">
        <v>57</v>
      </c>
      <c r="G55" s="9">
        <v>2625</v>
      </c>
      <c r="H55" s="11">
        <v>3.31</v>
      </c>
      <c r="I55" s="11">
        <v>2.25</v>
      </c>
      <c r="J55" s="12">
        <v>9.4</v>
      </c>
      <c r="K55" s="15">
        <f t="shared" si="0"/>
        <v>1.06</v>
      </c>
    </row>
    <row r="56" spans="1:11" ht="15.75" customHeight="1" x14ac:dyDescent="0.3">
      <c r="A56" s="8">
        <v>1055</v>
      </c>
      <c r="B56" s="8" t="s">
        <v>60</v>
      </c>
      <c r="C56" s="8" t="s">
        <v>59</v>
      </c>
      <c r="D56" s="8" t="s">
        <v>30</v>
      </c>
      <c r="E56" s="8" t="s">
        <v>37</v>
      </c>
      <c r="F56" s="8" t="s">
        <v>33</v>
      </c>
      <c r="G56" s="9">
        <v>1209</v>
      </c>
      <c r="H56" s="11">
        <v>5.26</v>
      </c>
      <c r="I56" s="11">
        <v>4.3499999999999996</v>
      </c>
      <c r="J56" s="12">
        <v>7.5</v>
      </c>
      <c r="K56" s="15">
        <f t="shared" si="0"/>
        <v>0.91000000000000014</v>
      </c>
    </row>
    <row r="57" spans="1:11" ht="15.75" customHeight="1" x14ac:dyDescent="0.3">
      <c r="A57" s="8">
        <v>1056</v>
      </c>
      <c r="B57" s="8" t="s">
        <v>60</v>
      </c>
      <c r="C57" s="8" t="s">
        <v>59</v>
      </c>
      <c r="D57" s="8" t="s">
        <v>30</v>
      </c>
      <c r="E57" s="8" t="s">
        <v>56</v>
      </c>
      <c r="F57" s="8" t="s">
        <v>33</v>
      </c>
      <c r="G57" s="9">
        <v>1533</v>
      </c>
      <c r="H57" s="11">
        <v>3.61</v>
      </c>
      <c r="I57" s="11">
        <v>2.34</v>
      </c>
      <c r="J57" s="12">
        <v>6.7</v>
      </c>
      <c r="K57" s="15">
        <f t="shared" si="0"/>
        <v>1.27</v>
      </c>
    </row>
    <row r="58" spans="1:11" ht="15.75" customHeight="1" x14ac:dyDescent="0.3">
      <c r="A58" s="8">
        <v>1057</v>
      </c>
      <c r="B58" s="8" t="s">
        <v>60</v>
      </c>
      <c r="C58" s="8" t="s">
        <v>59</v>
      </c>
      <c r="D58" s="8" t="s">
        <v>40</v>
      </c>
      <c r="E58" s="8" t="s">
        <v>46</v>
      </c>
      <c r="F58" s="8" t="s">
        <v>43</v>
      </c>
      <c r="G58" s="9">
        <v>2429</v>
      </c>
      <c r="H58" s="11">
        <v>11.69</v>
      </c>
      <c r="I58" s="11">
        <v>7.79</v>
      </c>
      <c r="J58" s="12">
        <v>6.3</v>
      </c>
      <c r="K58" s="15">
        <f t="shared" si="0"/>
        <v>3.8999999999999995</v>
      </c>
    </row>
    <row r="59" spans="1:11" ht="15.75" customHeight="1" x14ac:dyDescent="0.3">
      <c r="A59" s="8">
        <v>1058</v>
      </c>
      <c r="B59" s="8" t="s">
        <v>60</v>
      </c>
      <c r="C59" s="8" t="s">
        <v>59</v>
      </c>
      <c r="D59" s="8" t="s">
        <v>40</v>
      </c>
      <c r="E59" s="8" t="s">
        <v>53</v>
      </c>
      <c r="F59" s="8" t="s">
        <v>43</v>
      </c>
      <c r="G59" s="9">
        <v>2460</v>
      </c>
      <c r="H59" s="11">
        <v>18.91</v>
      </c>
      <c r="I59" s="11">
        <v>11.16</v>
      </c>
      <c r="J59" s="12">
        <v>7.5</v>
      </c>
      <c r="K59" s="15">
        <f t="shared" si="0"/>
        <v>7.75</v>
      </c>
    </row>
    <row r="60" spans="1:11" ht="15.75" customHeight="1" x14ac:dyDescent="0.3">
      <c r="A60" s="8">
        <v>1059</v>
      </c>
      <c r="B60" s="8" t="s">
        <v>60</v>
      </c>
      <c r="C60" s="8" t="s">
        <v>59</v>
      </c>
      <c r="D60" s="8" t="s">
        <v>49</v>
      </c>
      <c r="E60" s="8" t="s">
        <v>50</v>
      </c>
      <c r="F60" s="8" t="s">
        <v>43</v>
      </c>
      <c r="G60" s="9">
        <v>1077</v>
      </c>
      <c r="H60" s="11">
        <v>2.2799999999999998</v>
      </c>
      <c r="I60" s="11">
        <v>1.47</v>
      </c>
      <c r="J60" s="12">
        <v>7.1</v>
      </c>
      <c r="K60" s="15">
        <f t="shared" si="0"/>
        <v>0.80999999999999983</v>
      </c>
    </row>
    <row r="61" spans="1:11" ht="15.75" customHeight="1" x14ac:dyDescent="0.3">
      <c r="A61" s="8">
        <v>1060</v>
      </c>
      <c r="B61" s="8" t="s">
        <v>60</v>
      </c>
      <c r="C61" s="8" t="s">
        <v>59</v>
      </c>
      <c r="D61" s="8" t="s">
        <v>49</v>
      </c>
      <c r="E61" s="8" t="s">
        <v>51</v>
      </c>
      <c r="F61" s="8" t="s">
        <v>57</v>
      </c>
      <c r="G61" s="9">
        <v>1968</v>
      </c>
      <c r="H61" s="11">
        <v>4.49</v>
      </c>
      <c r="I61" s="11">
        <v>3.46</v>
      </c>
      <c r="J61" s="12">
        <v>7.9</v>
      </c>
      <c r="K61" s="15">
        <f t="shared" si="0"/>
        <v>1.0300000000000002</v>
      </c>
    </row>
    <row r="62" spans="1:11" ht="15.75" customHeight="1" x14ac:dyDescent="0.3">
      <c r="A62" s="8">
        <v>1061</v>
      </c>
      <c r="B62" s="8" t="s">
        <v>61</v>
      </c>
      <c r="C62" s="8" t="s">
        <v>29</v>
      </c>
      <c r="D62" s="8" t="s">
        <v>30</v>
      </c>
      <c r="E62" s="8" t="s">
        <v>56</v>
      </c>
      <c r="F62" s="8" t="s">
        <v>33</v>
      </c>
      <c r="G62" s="9">
        <v>7303</v>
      </c>
      <c r="H62" s="11">
        <v>37.81</v>
      </c>
      <c r="I62" s="11">
        <v>23.34</v>
      </c>
      <c r="J62" s="12">
        <v>6.7</v>
      </c>
      <c r="K62" s="15">
        <f t="shared" si="0"/>
        <v>14.470000000000002</v>
      </c>
    </row>
    <row r="63" spans="1:11" ht="15.75" customHeight="1" x14ac:dyDescent="0.3">
      <c r="A63" s="8">
        <v>1062</v>
      </c>
      <c r="B63" s="8" t="s">
        <v>61</v>
      </c>
      <c r="C63" s="8" t="s">
        <v>29</v>
      </c>
      <c r="D63" s="8" t="s">
        <v>30</v>
      </c>
      <c r="E63" s="8" t="s">
        <v>32</v>
      </c>
      <c r="F63" s="8" t="s">
        <v>33</v>
      </c>
      <c r="G63" s="9">
        <v>1502</v>
      </c>
      <c r="H63" s="11">
        <v>9.11</v>
      </c>
      <c r="I63" s="11">
        <v>7.11</v>
      </c>
      <c r="J63" s="12">
        <v>7.6</v>
      </c>
      <c r="K63" s="15">
        <f t="shared" si="0"/>
        <v>1.9999999999999991</v>
      </c>
    </row>
    <row r="64" spans="1:11" ht="15.75" customHeight="1" x14ac:dyDescent="0.3">
      <c r="A64" s="8">
        <v>1063</v>
      </c>
      <c r="B64" s="8" t="s">
        <v>61</v>
      </c>
      <c r="C64" s="8" t="s">
        <v>29</v>
      </c>
      <c r="D64" s="8" t="s">
        <v>40</v>
      </c>
      <c r="E64" s="8" t="s">
        <v>42</v>
      </c>
      <c r="F64" s="8" t="s">
        <v>43</v>
      </c>
      <c r="G64" s="9">
        <v>4869</v>
      </c>
      <c r="H64" s="11">
        <v>21.19</v>
      </c>
      <c r="I64" s="11">
        <v>10.63</v>
      </c>
      <c r="J64" s="12">
        <v>8.6</v>
      </c>
      <c r="K64" s="15">
        <f t="shared" si="0"/>
        <v>10.56</v>
      </c>
    </row>
    <row r="65" spans="1:11" ht="15.75" customHeight="1" x14ac:dyDescent="0.3">
      <c r="A65" s="8">
        <v>1064</v>
      </c>
      <c r="B65" s="8" t="s">
        <v>61</v>
      </c>
      <c r="C65" s="8" t="s">
        <v>29</v>
      </c>
      <c r="D65" s="8" t="s">
        <v>40</v>
      </c>
      <c r="E65" s="8" t="s">
        <v>46</v>
      </c>
      <c r="F65" s="8" t="s">
        <v>33</v>
      </c>
      <c r="G65" s="9">
        <v>7002</v>
      </c>
      <c r="H65" s="11">
        <v>30.41</v>
      </c>
      <c r="I65" s="11">
        <v>21.55</v>
      </c>
      <c r="J65" s="12">
        <v>7.6</v>
      </c>
      <c r="K65" s="15">
        <f t="shared" si="0"/>
        <v>8.86</v>
      </c>
    </row>
    <row r="66" spans="1:11" ht="15.75" customHeight="1" x14ac:dyDescent="0.3">
      <c r="A66" s="8">
        <v>1065</v>
      </c>
      <c r="B66" s="8" t="s">
        <v>61</v>
      </c>
      <c r="C66" s="8" t="s">
        <v>29</v>
      </c>
      <c r="D66" s="8" t="s">
        <v>49</v>
      </c>
      <c r="E66" s="8" t="s">
        <v>54</v>
      </c>
      <c r="F66" s="8" t="s">
        <v>57</v>
      </c>
      <c r="G66" s="9">
        <v>4584</v>
      </c>
      <c r="H66" s="11">
        <v>9.9600000000000009</v>
      </c>
      <c r="I66" s="11">
        <v>8.43</v>
      </c>
      <c r="J66" s="12">
        <v>8.1</v>
      </c>
      <c r="K66" s="15">
        <f t="shared" ref="K66:K129" si="1">H66-I66</f>
        <v>1.5300000000000011</v>
      </c>
    </row>
    <row r="67" spans="1:11" ht="15.75" customHeight="1" x14ac:dyDescent="0.3">
      <c r="A67" s="8">
        <v>1066</v>
      </c>
      <c r="B67" s="8" t="s">
        <v>61</v>
      </c>
      <c r="C67" s="8" t="s">
        <v>29</v>
      </c>
      <c r="D67" s="8" t="s">
        <v>49</v>
      </c>
      <c r="E67" s="8" t="s">
        <v>50</v>
      </c>
      <c r="F67" s="8" t="s">
        <v>43</v>
      </c>
      <c r="G67" s="9">
        <v>5757</v>
      </c>
      <c r="H67" s="11">
        <v>11.17</v>
      </c>
      <c r="I67" s="11">
        <v>8.93</v>
      </c>
      <c r="J67" s="12">
        <v>7.9</v>
      </c>
      <c r="K67" s="15">
        <f t="shared" si="1"/>
        <v>2.2400000000000002</v>
      </c>
    </row>
    <row r="68" spans="1:11" ht="15.75" customHeight="1" x14ac:dyDescent="0.3">
      <c r="A68" s="8">
        <v>1067</v>
      </c>
      <c r="B68" s="8" t="s">
        <v>61</v>
      </c>
      <c r="C68" s="8" t="s">
        <v>52</v>
      </c>
      <c r="D68" s="8" t="s">
        <v>30</v>
      </c>
      <c r="E68" s="8" t="s">
        <v>37</v>
      </c>
      <c r="F68" s="8" t="s">
        <v>43</v>
      </c>
      <c r="G68" s="9">
        <v>2527</v>
      </c>
      <c r="H68" s="11">
        <v>7.76</v>
      </c>
      <c r="I68" s="11">
        <v>6.05</v>
      </c>
      <c r="J68" s="12">
        <v>7.8</v>
      </c>
      <c r="K68" s="15">
        <f t="shared" si="1"/>
        <v>1.71</v>
      </c>
    </row>
    <row r="69" spans="1:11" ht="15.75" customHeight="1" x14ac:dyDescent="0.3">
      <c r="A69" s="8">
        <v>1068</v>
      </c>
      <c r="B69" s="8" t="s">
        <v>61</v>
      </c>
      <c r="C69" s="8" t="s">
        <v>52</v>
      </c>
      <c r="D69" s="8" t="s">
        <v>30</v>
      </c>
      <c r="E69" s="8" t="s">
        <v>56</v>
      </c>
      <c r="F69" s="8" t="s">
        <v>33</v>
      </c>
      <c r="G69" s="9">
        <v>2622</v>
      </c>
      <c r="H69" s="11">
        <v>5.8</v>
      </c>
      <c r="I69" s="11">
        <v>3.66</v>
      </c>
      <c r="J69" s="12">
        <v>7.1</v>
      </c>
      <c r="K69" s="15">
        <f t="shared" si="1"/>
        <v>2.1399999999999997</v>
      </c>
    </row>
    <row r="70" spans="1:11" ht="15.75" customHeight="1" x14ac:dyDescent="0.3">
      <c r="A70" s="8">
        <v>1069</v>
      </c>
      <c r="B70" s="8" t="s">
        <v>61</v>
      </c>
      <c r="C70" s="8" t="s">
        <v>52</v>
      </c>
      <c r="D70" s="8" t="s">
        <v>40</v>
      </c>
      <c r="E70" s="8" t="s">
        <v>42</v>
      </c>
      <c r="F70" s="8" t="s">
        <v>33</v>
      </c>
      <c r="G70" s="9">
        <v>1864</v>
      </c>
      <c r="H70" s="11">
        <v>8.5299999999999994</v>
      </c>
      <c r="I70" s="11">
        <v>4.8099999999999996</v>
      </c>
      <c r="J70" s="12">
        <v>7.5</v>
      </c>
      <c r="K70" s="15">
        <f t="shared" si="1"/>
        <v>3.7199999999999998</v>
      </c>
    </row>
    <row r="71" spans="1:11" ht="15.75" customHeight="1" x14ac:dyDescent="0.3">
      <c r="A71" s="8">
        <v>1070</v>
      </c>
      <c r="B71" s="8" t="s">
        <v>61</v>
      </c>
      <c r="C71" s="8" t="s">
        <v>52</v>
      </c>
      <c r="D71" s="8" t="s">
        <v>40</v>
      </c>
      <c r="E71" s="8" t="s">
        <v>46</v>
      </c>
      <c r="F71" s="8" t="s">
        <v>43</v>
      </c>
      <c r="G71" s="9">
        <v>4262</v>
      </c>
      <c r="H71" s="11">
        <v>20.38</v>
      </c>
      <c r="I71" s="11">
        <v>12.76</v>
      </c>
      <c r="J71" s="12">
        <v>9.1999999999999993</v>
      </c>
      <c r="K71" s="15">
        <f t="shared" si="1"/>
        <v>7.6199999999999992</v>
      </c>
    </row>
    <row r="72" spans="1:11" ht="15.75" customHeight="1" x14ac:dyDescent="0.3">
      <c r="A72" s="8">
        <v>1071</v>
      </c>
      <c r="B72" s="8" t="s">
        <v>61</v>
      </c>
      <c r="C72" s="8" t="s">
        <v>52</v>
      </c>
      <c r="D72" s="8" t="s">
        <v>49</v>
      </c>
      <c r="E72" s="8" t="s">
        <v>54</v>
      </c>
      <c r="F72" s="8" t="s">
        <v>43</v>
      </c>
      <c r="G72" s="9">
        <v>3860</v>
      </c>
      <c r="H72" s="11">
        <v>8.84</v>
      </c>
      <c r="I72" s="11">
        <v>5.9</v>
      </c>
      <c r="J72" s="12">
        <v>9.1</v>
      </c>
      <c r="K72" s="15">
        <f t="shared" si="1"/>
        <v>2.9399999999999995</v>
      </c>
    </row>
    <row r="73" spans="1:11" ht="15.75" customHeight="1" x14ac:dyDescent="0.3">
      <c r="A73" s="8">
        <v>1072</v>
      </c>
      <c r="B73" s="8" t="s">
        <v>61</v>
      </c>
      <c r="C73" s="8" t="s">
        <v>52</v>
      </c>
      <c r="D73" s="8" t="s">
        <v>49</v>
      </c>
      <c r="E73" s="8" t="s">
        <v>50</v>
      </c>
      <c r="F73" s="8" t="s">
        <v>43</v>
      </c>
      <c r="G73" s="9">
        <v>4235</v>
      </c>
      <c r="H73" s="11">
        <v>8.84</v>
      </c>
      <c r="I73" s="11">
        <v>7.24</v>
      </c>
      <c r="J73" s="12">
        <v>7.7</v>
      </c>
      <c r="K73" s="15">
        <f t="shared" si="1"/>
        <v>1.5999999999999996</v>
      </c>
    </row>
    <row r="74" spans="1:11" ht="15.75" customHeight="1" x14ac:dyDescent="0.3">
      <c r="A74" s="8">
        <v>1073</v>
      </c>
      <c r="B74" s="8" t="s">
        <v>61</v>
      </c>
      <c r="C74" s="8" t="s">
        <v>55</v>
      </c>
      <c r="D74" s="8" t="s">
        <v>30</v>
      </c>
      <c r="E74" s="8" t="s">
        <v>56</v>
      </c>
      <c r="F74" s="8" t="s">
        <v>43</v>
      </c>
      <c r="G74" s="9">
        <v>1017</v>
      </c>
      <c r="H74" s="11">
        <v>3.52</v>
      </c>
      <c r="I74" s="11">
        <v>2.36</v>
      </c>
      <c r="J74" s="12">
        <v>6.6</v>
      </c>
      <c r="K74" s="15">
        <f t="shared" si="1"/>
        <v>1.1600000000000001</v>
      </c>
    </row>
    <row r="75" spans="1:11" ht="15.75" customHeight="1" x14ac:dyDescent="0.3">
      <c r="A75" s="8">
        <v>1074</v>
      </c>
      <c r="B75" s="8" t="s">
        <v>61</v>
      </c>
      <c r="C75" s="8" t="s">
        <v>55</v>
      </c>
      <c r="D75" s="8" t="s">
        <v>30</v>
      </c>
      <c r="E75" s="8" t="s">
        <v>32</v>
      </c>
      <c r="F75" s="8" t="s">
        <v>43</v>
      </c>
      <c r="G75" s="9">
        <v>5972</v>
      </c>
      <c r="H75" s="11">
        <v>35.61</v>
      </c>
      <c r="I75" s="11">
        <v>29.27</v>
      </c>
      <c r="J75" s="12">
        <v>8.1</v>
      </c>
      <c r="K75" s="15">
        <f t="shared" si="1"/>
        <v>6.34</v>
      </c>
    </row>
    <row r="76" spans="1:11" ht="15.75" customHeight="1" x14ac:dyDescent="0.3">
      <c r="A76" s="8">
        <v>1075</v>
      </c>
      <c r="B76" s="8" t="s">
        <v>61</v>
      </c>
      <c r="C76" s="8" t="s">
        <v>55</v>
      </c>
      <c r="D76" s="8" t="s">
        <v>40</v>
      </c>
      <c r="E76" s="8" t="s">
        <v>42</v>
      </c>
      <c r="F76" s="8" t="s">
        <v>33</v>
      </c>
      <c r="G76" s="9">
        <v>4432</v>
      </c>
      <c r="H76" s="11">
        <v>16.18</v>
      </c>
      <c r="I76" s="11">
        <v>8.33</v>
      </c>
      <c r="J76" s="12">
        <v>7.3</v>
      </c>
      <c r="K76" s="15">
        <f t="shared" si="1"/>
        <v>7.85</v>
      </c>
    </row>
    <row r="77" spans="1:11" ht="15.75" customHeight="1" x14ac:dyDescent="0.3">
      <c r="A77" s="8">
        <v>1076</v>
      </c>
      <c r="B77" s="8" t="s">
        <v>61</v>
      </c>
      <c r="C77" s="8" t="s">
        <v>55</v>
      </c>
      <c r="D77" s="8" t="s">
        <v>40</v>
      </c>
      <c r="E77" s="8" t="s">
        <v>46</v>
      </c>
      <c r="F77" s="8" t="s">
        <v>33</v>
      </c>
      <c r="G77" s="9">
        <v>3385</v>
      </c>
      <c r="H77" s="11">
        <v>17.07</v>
      </c>
      <c r="I77" s="11">
        <v>9.9600000000000009</v>
      </c>
      <c r="J77" s="12">
        <v>9.3000000000000007</v>
      </c>
      <c r="K77" s="15">
        <f t="shared" si="1"/>
        <v>7.1099999999999994</v>
      </c>
    </row>
    <row r="78" spans="1:11" ht="15.75" customHeight="1" x14ac:dyDescent="0.3">
      <c r="A78" s="8">
        <v>1077</v>
      </c>
      <c r="B78" s="8" t="s">
        <v>61</v>
      </c>
      <c r="C78" s="8" t="s">
        <v>55</v>
      </c>
      <c r="D78" s="8" t="s">
        <v>49</v>
      </c>
      <c r="E78" s="8" t="s">
        <v>51</v>
      </c>
      <c r="F78" s="8" t="s">
        <v>57</v>
      </c>
      <c r="G78" s="9">
        <v>3472</v>
      </c>
      <c r="H78" s="11">
        <v>6.32</v>
      </c>
      <c r="I78" s="11">
        <v>5.28</v>
      </c>
      <c r="J78" s="12">
        <v>6.8</v>
      </c>
      <c r="K78" s="15">
        <f t="shared" si="1"/>
        <v>1.04</v>
      </c>
    </row>
    <row r="79" spans="1:11" ht="15.75" customHeight="1" x14ac:dyDescent="0.3">
      <c r="A79" s="8">
        <v>1078</v>
      </c>
      <c r="B79" s="8" t="s">
        <v>61</v>
      </c>
      <c r="C79" s="8" t="s">
        <v>55</v>
      </c>
      <c r="D79" s="8" t="s">
        <v>49</v>
      </c>
      <c r="E79" s="8" t="s">
        <v>54</v>
      </c>
      <c r="F79" s="8" t="s">
        <v>57</v>
      </c>
      <c r="G79" s="9">
        <v>5202</v>
      </c>
      <c r="H79" s="11">
        <v>9.86</v>
      </c>
      <c r="I79" s="11">
        <v>8.23</v>
      </c>
      <c r="J79" s="12">
        <v>6.7</v>
      </c>
      <c r="K79" s="15">
        <f t="shared" si="1"/>
        <v>1.629999999999999</v>
      </c>
    </row>
    <row r="80" spans="1:11" ht="15.75" customHeight="1" x14ac:dyDescent="0.3">
      <c r="A80" s="8">
        <v>1079</v>
      </c>
      <c r="B80" s="8" t="s">
        <v>61</v>
      </c>
      <c r="C80" s="8" t="s">
        <v>58</v>
      </c>
      <c r="D80" s="8" t="s">
        <v>30</v>
      </c>
      <c r="E80" s="8" t="s">
        <v>37</v>
      </c>
      <c r="F80" s="8" t="s">
        <v>33</v>
      </c>
      <c r="G80" s="9">
        <v>1012</v>
      </c>
      <c r="H80" s="11">
        <v>4.79</v>
      </c>
      <c r="I80" s="11">
        <v>2.95</v>
      </c>
      <c r="J80" s="12">
        <v>8.4</v>
      </c>
      <c r="K80" s="15">
        <f t="shared" si="1"/>
        <v>1.8399999999999999</v>
      </c>
    </row>
    <row r="81" spans="1:11" ht="15.75" customHeight="1" x14ac:dyDescent="0.3">
      <c r="A81" s="8">
        <v>1080</v>
      </c>
      <c r="B81" s="8" t="s">
        <v>61</v>
      </c>
      <c r="C81" s="8" t="s">
        <v>58</v>
      </c>
      <c r="D81" s="8" t="s">
        <v>30</v>
      </c>
      <c r="E81" s="8" t="s">
        <v>32</v>
      </c>
      <c r="F81" s="8" t="s">
        <v>43</v>
      </c>
      <c r="G81" s="9">
        <v>1163</v>
      </c>
      <c r="H81" s="11">
        <v>5.41</v>
      </c>
      <c r="I81" s="11">
        <v>3.16</v>
      </c>
      <c r="J81" s="12">
        <v>8.9</v>
      </c>
      <c r="K81" s="15">
        <f t="shared" si="1"/>
        <v>2.25</v>
      </c>
    </row>
    <row r="82" spans="1:11" ht="15.75" customHeight="1" x14ac:dyDescent="0.3">
      <c r="A82" s="8">
        <v>1081</v>
      </c>
      <c r="B82" s="8" t="s">
        <v>61</v>
      </c>
      <c r="C82" s="8" t="s">
        <v>58</v>
      </c>
      <c r="D82" s="8" t="s">
        <v>40</v>
      </c>
      <c r="E82" s="8" t="s">
        <v>53</v>
      </c>
      <c r="F82" s="8" t="s">
        <v>33</v>
      </c>
      <c r="G82" s="9">
        <v>3915</v>
      </c>
      <c r="H82" s="11">
        <v>24.89</v>
      </c>
      <c r="I82" s="11">
        <v>15.25</v>
      </c>
      <c r="J82" s="12">
        <v>9.3000000000000007</v>
      </c>
      <c r="K82" s="15">
        <f t="shared" si="1"/>
        <v>9.64</v>
      </c>
    </row>
    <row r="83" spans="1:11" ht="15.75" customHeight="1" x14ac:dyDescent="0.3">
      <c r="A83" s="8">
        <v>1082</v>
      </c>
      <c r="B83" s="8" t="s">
        <v>61</v>
      </c>
      <c r="C83" s="8" t="s">
        <v>58</v>
      </c>
      <c r="D83" s="8" t="s">
        <v>40</v>
      </c>
      <c r="E83" s="8" t="s">
        <v>46</v>
      </c>
      <c r="F83" s="8" t="s">
        <v>33</v>
      </c>
      <c r="G83" s="9">
        <v>831</v>
      </c>
      <c r="H83" s="11">
        <v>5.5</v>
      </c>
      <c r="I83" s="11">
        <v>2.92</v>
      </c>
      <c r="J83" s="12">
        <v>8.6999999999999993</v>
      </c>
      <c r="K83" s="15">
        <f t="shared" si="1"/>
        <v>2.58</v>
      </c>
    </row>
    <row r="84" spans="1:11" ht="15.75" customHeight="1" x14ac:dyDescent="0.3">
      <c r="A84" s="8">
        <v>1083</v>
      </c>
      <c r="B84" s="8" t="s">
        <v>61</v>
      </c>
      <c r="C84" s="8" t="s">
        <v>58</v>
      </c>
      <c r="D84" s="8" t="s">
        <v>49</v>
      </c>
      <c r="E84" s="8" t="s">
        <v>54</v>
      </c>
      <c r="F84" s="8" t="s">
        <v>57</v>
      </c>
      <c r="G84" s="9">
        <v>1812</v>
      </c>
      <c r="H84" s="11">
        <v>2.39</v>
      </c>
      <c r="I84" s="11">
        <v>1.68</v>
      </c>
      <c r="J84" s="12">
        <v>7.2</v>
      </c>
      <c r="K84" s="15">
        <f t="shared" si="1"/>
        <v>0.71000000000000019</v>
      </c>
    </row>
    <row r="85" spans="1:11" ht="15.75" customHeight="1" x14ac:dyDescent="0.3">
      <c r="A85" s="8">
        <v>1084</v>
      </c>
      <c r="B85" s="8" t="s">
        <v>61</v>
      </c>
      <c r="C85" s="8" t="s">
        <v>58</v>
      </c>
      <c r="D85" s="8" t="s">
        <v>49</v>
      </c>
      <c r="E85" s="8" t="s">
        <v>50</v>
      </c>
      <c r="F85" s="8" t="s">
        <v>43</v>
      </c>
      <c r="G85" s="9">
        <v>3530</v>
      </c>
      <c r="H85" s="11">
        <v>2.74</v>
      </c>
      <c r="I85" s="11">
        <v>2.0299999999999998</v>
      </c>
      <c r="J85" s="12">
        <v>8.9</v>
      </c>
      <c r="K85" s="15">
        <f t="shared" si="1"/>
        <v>0.71000000000000041</v>
      </c>
    </row>
    <row r="86" spans="1:11" ht="15.75" customHeight="1" x14ac:dyDescent="0.3">
      <c r="A86" s="8">
        <v>1085</v>
      </c>
      <c r="B86" s="8" t="s">
        <v>61</v>
      </c>
      <c r="C86" s="8" t="s">
        <v>59</v>
      </c>
      <c r="D86" s="8" t="s">
        <v>30</v>
      </c>
      <c r="E86" s="8" t="s">
        <v>32</v>
      </c>
      <c r="F86" s="8" t="s">
        <v>43</v>
      </c>
      <c r="G86" s="9">
        <v>1009</v>
      </c>
      <c r="H86" s="11">
        <v>4.25</v>
      </c>
      <c r="I86" s="11">
        <v>3.12</v>
      </c>
      <c r="J86" s="12">
        <v>8.8000000000000007</v>
      </c>
      <c r="K86" s="15">
        <f t="shared" si="1"/>
        <v>1.1299999999999999</v>
      </c>
    </row>
    <row r="87" spans="1:11" ht="15.75" customHeight="1" x14ac:dyDescent="0.3">
      <c r="A87" s="8">
        <v>1086</v>
      </c>
      <c r="B87" s="8" t="s">
        <v>61</v>
      </c>
      <c r="C87" s="8" t="s">
        <v>59</v>
      </c>
      <c r="D87" s="8" t="s">
        <v>30</v>
      </c>
      <c r="E87" s="8" t="s">
        <v>37</v>
      </c>
      <c r="F87" s="8" t="s">
        <v>43</v>
      </c>
      <c r="G87" s="9">
        <v>1893</v>
      </c>
      <c r="H87" s="11">
        <v>10.220000000000001</v>
      </c>
      <c r="I87" s="11">
        <v>6.61</v>
      </c>
      <c r="J87" s="12">
        <v>6.5</v>
      </c>
      <c r="K87" s="15">
        <f t="shared" si="1"/>
        <v>3.6100000000000003</v>
      </c>
    </row>
    <row r="88" spans="1:11" ht="15.75" customHeight="1" x14ac:dyDescent="0.3">
      <c r="A88" s="8">
        <v>1087</v>
      </c>
      <c r="B88" s="8" t="s">
        <v>61</v>
      </c>
      <c r="C88" s="8" t="s">
        <v>59</v>
      </c>
      <c r="D88" s="8" t="s">
        <v>40</v>
      </c>
      <c r="E88" s="8" t="s">
        <v>46</v>
      </c>
      <c r="F88" s="8" t="s">
        <v>43</v>
      </c>
      <c r="G88" s="9">
        <v>1217</v>
      </c>
      <c r="H88" s="11">
        <v>6.62</v>
      </c>
      <c r="I88" s="11">
        <v>4.0599999999999996</v>
      </c>
      <c r="J88" s="12">
        <v>5.7</v>
      </c>
      <c r="K88" s="15">
        <f t="shared" si="1"/>
        <v>2.5600000000000005</v>
      </c>
    </row>
    <row r="89" spans="1:11" ht="15.75" customHeight="1" x14ac:dyDescent="0.3">
      <c r="A89" s="8">
        <v>1088</v>
      </c>
      <c r="B89" s="8" t="s">
        <v>61</v>
      </c>
      <c r="C89" s="8" t="s">
        <v>59</v>
      </c>
      <c r="D89" s="8" t="s">
        <v>40</v>
      </c>
      <c r="E89" s="8" t="s">
        <v>53</v>
      </c>
      <c r="F89" s="8" t="s">
        <v>43</v>
      </c>
      <c r="G89" s="9">
        <v>1027</v>
      </c>
      <c r="H89" s="11">
        <v>4.42</v>
      </c>
      <c r="I89" s="11">
        <v>2.66</v>
      </c>
      <c r="J89" s="12">
        <v>8.6999999999999993</v>
      </c>
      <c r="K89" s="15">
        <f t="shared" si="1"/>
        <v>1.7599999999999998</v>
      </c>
    </row>
    <row r="90" spans="1:11" ht="15.75" customHeight="1" x14ac:dyDescent="0.3">
      <c r="A90" s="8">
        <v>1089</v>
      </c>
      <c r="B90" s="8" t="s">
        <v>61</v>
      </c>
      <c r="C90" s="8" t="s">
        <v>59</v>
      </c>
      <c r="D90" s="8" t="s">
        <v>49</v>
      </c>
      <c r="E90" s="8" t="s">
        <v>54</v>
      </c>
      <c r="F90" s="8" t="s">
        <v>57</v>
      </c>
      <c r="G90" s="9">
        <v>2051</v>
      </c>
      <c r="H90" s="11">
        <v>1.72</v>
      </c>
      <c r="I90" s="11">
        <v>1.1599999999999999</v>
      </c>
      <c r="J90" s="12">
        <v>7.5</v>
      </c>
      <c r="K90" s="15">
        <f t="shared" si="1"/>
        <v>0.56000000000000005</v>
      </c>
    </row>
    <row r="91" spans="1:11" ht="15.75" customHeight="1" x14ac:dyDescent="0.3">
      <c r="A91" s="8">
        <v>1090</v>
      </c>
      <c r="B91" s="8" t="s">
        <v>61</v>
      </c>
      <c r="C91" s="8" t="s">
        <v>59</v>
      </c>
      <c r="D91" s="8" t="s">
        <v>49</v>
      </c>
      <c r="E91" s="8" t="s">
        <v>51</v>
      </c>
      <c r="F91" s="8" t="s">
        <v>57</v>
      </c>
      <c r="G91" s="9">
        <v>2584</v>
      </c>
      <c r="H91" s="11">
        <v>4.62</v>
      </c>
      <c r="I91" s="11">
        <v>3.64</v>
      </c>
      <c r="J91" s="12">
        <v>5.9</v>
      </c>
      <c r="K91" s="15">
        <f t="shared" si="1"/>
        <v>0.98</v>
      </c>
    </row>
    <row r="92" spans="1:11" ht="15.75" customHeight="1" x14ac:dyDescent="0.3">
      <c r="A92" s="8">
        <v>1091</v>
      </c>
      <c r="B92" s="8" t="s">
        <v>62</v>
      </c>
      <c r="C92" s="8" t="s">
        <v>29</v>
      </c>
      <c r="D92" s="8" t="s">
        <v>30</v>
      </c>
      <c r="E92" s="8" t="s">
        <v>37</v>
      </c>
      <c r="F92" s="8" t="s">
        <v>33</v>
      </c>
      <c r="G92" s="9">
        <v>3568</v>
      </c>
      <c r="H92" s="11">
        <v>15.35</v>
      </c>
      <c r="I92" s="11">
        <v>10.89</v>
      </c>
      <c r="J92" s="12">
        <v>7.5</v>
      </c>
      <c r="K92" s="15">
        <f t="shared" si="1"/>
        <v>4.4599999999999991</v>
      </c>
    </row>
    <row r="93" spans="1:11" ht="15.75" customHeight="1" x14ac:dyDescent="0.3">
      <c r="A93" s="8">
        <v>1092</v>
      </c>
      <c r="B93" s="8" t="s">
        <v>62</v>
      </c>
      <c r="C93" s="8" t="s">
        <v>29</v>
      </c>
      <c r="D93" s="8" t="s">
        <v>30</v>
      </c>
      <c r="E93" s="8" t="s">
        <v>56</v>
      </c>
      <c r="F93" s="8" t="s">
        <v>43</v>
      </c>
      <c r="G93" s="9">
        <v>3922</v>
      </c>
      <c r="H93" s="11">
        <v>14.38</v>
      </c>
      <c r="I93" s="11">
        <v>8.9</v>
      </c>
      <c r="J93" s="12">
        <v>8.5</v>
      </c>
      <c r="K93" s="15">
        <f t="shared" si="1"/>
        <v>5.48</v>
      </c>
    </row>
    <row r="94" spans="1:11" ht="15.75" customHeight="1" x14ac:dyDescent="0.3">
      <c r="A94" s="8">
        <v>1093</v>
      </c>
      <c r="B94" s="8" t="s">
        <v>62</v>
      </c>
      <c r="C94" s="8" t="s">
        <v>29</v>
      </c>
      <c r="D94" s="8" t="s">
        <v>40</v>
      </c>
      <c r="E94" s="8" t="s">
        <v>53</v>
      </c>
      <c r="F94" s="8" t="s">
        <v>33</v>
      </c>
      <c r="G94" s="9">
        <v>2679</v>
      </c>
      <c r="H94" s="11">
        <v>17.13</v>
      </c>
      <c r="I94" s="11">
        <v>11.59</v>
      </c>
      <c r="J94" s="12">
        <v>8.6999999999999993</v>
      </c>
      <c r="K94" s="15">
        <f t="shared" si="1"/>
        <v>5.5399999999999991</v>
      </c>
    </row>
    <row r="95" spans="1:11" ht="15.75" customHeight="1" x14ac:dyDescent="0.3">
      <c r="A95" s="8">
        <v>1094</v>
      </c>
      <c r="B95" s="8" t="s">
        <v>62</v>
      </c>
      <c r="C95" s="8" t="s">
        <v>29</v>
      </c>
      <c r="D95" s="8" t="s">
        <v>40</v>
      </c>
      <c r="E95" s="8" t="s">
        <v>46</v>
      </c>
      <c r="F95" s="8" t="s">
        <v>43</v>
      </c>
      <c r="G95" s="9">
        <v>8799</v>
      </c>
      <c r="H95" s="11">
        <v>60.46</v>
      </c>
      <c r="I95" s="11">
        <v>36.78</v>
      </c>
      <c r="J95" s="12">
        <v>7.1</v>
      </c>
      <c r="K95" s="15">
        <f t="shared" si="1"/>
        <v>23.68</v>
      </c>
    </row>
    <row r="96" spans="1:11" ht="15.75" customHeight="1" x14ac:dyDescent="0.3">
      <c r="A96" s="8">
        <v>1095</v>
      </c>
      <c r="B96" s="8" t="s">
        <v>62</v>
      </c>
      <c r="C96" s="8" t="s">
        <v>29</v>
      </c>
      <c r="D96" s="8" t="s">
        <v>49</v>
      </c>
      <c r="E96" s="8" t="s">
        <v>54</v>
      </c>
      <c r="F96" s="8" t="s">
        <v>43</v>
      </c>
      <c r="G96" s="9">
        <v>1546</v>
      </c>
      <c r="H96" s="11">
        <v>0.9</v>
      </c>
      <c r="I96" s="11">
        <v>0.75</v>
      </c>
      <c r="J96" s="12">
        <v>8.1999999999999993</v>
      </c>
      <c r="K96" s="15">
        <f t="shared" si="1"/>
        <v>0.15000000000000002</v>
      </c>
    </row>
    <row r="97" spans="1:11" ht="15.75" customHeight="1" x14ac:dyDescent="0.3">
      <c r="A97" s="8">
        <v>1096</v>
      </c>
      <c r="B97" s="8" t="s">
        <v>62</v>
      </c>
      <c r="C97" s="8" t="s">
        <v>29</v>
      </c>
      <c r="D97" s="8" t="s">
        <v>49</v>
      </c>
      <c r="E97" s="8" t="s">
        <v>50</v>
      </c>
      <c r="F97" s="8" t="s">
        <v>43</v>
      </c>
      <c r="G97" s="9">
        <v>1989</v>
      </c>
      <c r="H97" s="11">
        <v>1</v>
      </c>
      <c r="I97" s="11">
        <v>0.69</v>
      </c>
      <c r="J97" s="12">
        <v>7.2</v>
      </c>
      <c r="K97" s="15">
        <f t="shared" si="1"/>
        <v>0.31000000000000005</v>
      </c>
    </row>
    <row r="98" spans="1:11" ht="15.75" customHeight="1" x14ac:dyDescent="0.3">
      <c r="A98" s="8">
        <v>1097</v>
      </c>
      <c r="B98" s="8" t="s">
        <v>62</v>
      </c>
      <c r="C98" s="8" t="s">
        <v>52</v>
      </c>
      <c r="D98" s="8" t="s">
        <v>30</v>
      </c>
      <c r="E98" s="8" t="s">
        <v>37</v>
      </c>
      <c r="F98" s="8" t="s">
        <v>43</v>
      </c>
      <c r="G98" s="9">
        <v>1693</v>
      </c>
      <c r="H98" s="11">
        <v>3.82</v>
      </c>
      <c r="I98" s="11">
        <v>2.76</v>
      </c>
      <c r="J98" s="12">
        <v>8.4</v>
      </c>
      <c r="K98" s="15">
        <f t="shared" si="1"/>
        <v>1.06</v>
      </c>
    </row>
    <row r="99" spans="1:11" ht="15.75" customHeight="1" x14ac:dyDescent="0.3">
      <c r="A99" s="8">
        <v>1098</v>
      </c>
      <c r="B99" s="8" t="s">
        <v>62</v>
      </c>
      <c r="C99" s="8" t="s">
        <v>52</v>
      </c>
      <c r="D99" s="8" t="s">
        <v>30</v>
      </c>
      <c r="E99" s="8" t="s">
        <v>56</v>
      </c>
      <c r="F99" s="8" t="s">
        <v>33</v>
      </c>
      <c r="G99" s="9">
        <v>1915</v>
      </c>
      <c r="H99" s="11">
        <v>7.82</v>
      </c>
      <c r="I99" s="11">
        <v>6.63</v>
      </c>
      <c r="J99" s="12">
        <v>6.4</v>
      </c>
      <c r="K99" s="15">
        <f t="shared" si="1"/>
        <v>1.1900000000000004</v>
      </c>
    </row>
    <row r="100" spans="1:11" ht="15.75" customHeight="1" x14ac:dyDescent="0.3">
      <c r="A100" s="8">
        <v>1099</v>
      </c>
      <c r="B100" s="8" t="s">
        <v>62</v>
      </c>
      <c r="C100" s="8" t="s">
        <v>52</v>
      </c>
      <c r="D100" s="8" t="s">
        <v>40</v>
      </c>
      <c r="E100" s="8" t="s">
        <v>53</v>
      </c>
      <c r="F100" s="8" t="s">
        <v>43</v>
      </c>
      <c r="G100" s="9">
        <v>3819</v>
      </c>
      <c r="H100" s="11">
        <v>21.34</v>
      </c>
      <c r="I100" s="11">
        <v>17.010000000000002</v>
      </c>
      <c r="J100" s="12">
        <v>7.1</v>
      </c>
      <c r="K100" s="15">
        <f t="shared" si="1"/>
        <v>4.3299999999999983</v>
      </c>
    </row>
    <row r="101" spans="1:11" ht="15.75" customHeight="1" x14ac:dyDescent="0.3">
      <c r="A101" s="8">
        <v>1100</v>
      </c>
      <c r="B101" s="8" t="s">
        <v>62</v>
      </c>
      <c r="C101" s="8" t="s">
        <v>52</v>
      </c>
      <c r="D101" s="8" t="s">
        <v>40</v>
      </c>
      <c r="E101" s="8" t="s">
        <v>46</v>
      </c>
      <c r="F101" s="8" t="s">
        <v>33</v>
      </c>
      <c r="G101" s="9">
        <v>4825</v>
      </c>
      <c r="H101" s="11">
        <v>35.22</v>
      </c>
      <c r="I101" s="11">
        <v>19.809999999999999</v>
      </c>
      <c r="J101" s="12">
        <v>6.7</v>
      </c>
      <c r="K101" s="15">
        <f t="shared" si="1"/>
        <v>15.41</v>
      </c>
    </row>
    <row r="102" spans="1:11" ht="15.75" customHeight="1" x14ac:dyDescent="0.3">
      <c r="A102" s="8">
        <v>1101</v>
      </c>
      <c r="B102" s="8" t="s">
        <v>62</v>
      </c>
      <c r="C102" s="8" t="s">
        <v>52</v>
      </c>
      <c r="D102" s="8" t="s">
        <v>49</v>
      </c>
      <c r="E102" s="8" t="s">
        <v>54</v>
      </c>
      <c r="F102" s="8" t="s">
        <v>57</v>
      </c>
      <c r="G102" s="9">
        <v>2488</v>
      </c>
      <c r="H102" s="11">
        <v>3.72</v>
      </c>
      <c r="I102" s="11">
        <v>2.5</v>
      </c>
      <c r="J102" s="12">
        <v>8.4</v>
      </c>
      <c r="K102" s="15">
        <f t="shared" si="1"/>
        <v>1.2200000000000002</v>
      </c>
    </row>
    <row r="103" spans="1:11" ht="15.75" customHeight="1" x14ac:dyDescent="0.3">
      <c r="A103" s="8">
        <v>1102</v>
      </c>
      <c r="B103" s="8" t="s">
        <v>62</v>
      </c>
      <c r="C103" s="8" t="s">
        <v>52</v>
      </c>
      <c r="D103" s="8" t="s">
        <v>49</v>
      </c>
      <c r="E103" s="8" t="s">
        <v>50</v>
      </c>
      <c r="F103" s="8" t="s">
        <v>43</v>
      </c>
      <c r="G103" s="9">
        <v>2813</v>
      </c>
      <c r="H103" s="11">
        <v>2.82</v>
      </c>
      <c r="I103" s="11">
        <v>2.15</v>
      </c>
      <c r="J103" s="12">
        <v>7.6</v>
      </c>
      <c r="K103" s="15">
        <f t="shared" si="1"/>
        <v>0.66999999999999993</v>
      </c>
    </row>
    <row r="104" spans="1:11" ht="15.75" customHeight="1" x14ac:dyDescent="0.3">
      <c r="A104" s="8">
        <v>1103</v>
      </c>
      <c r="B104" s="8" t="s">
        <v>62</v>
      </c>
      <c r="C104" s="8" t="s">
        <v>55</v>
      </c>
      <c r="D104" s="8" t="s">
        <v>30</v>
      </c>
      <c r="E104" s="8" t="s">
        <v>32</v>
      </c>
      <c r="F104" s="8" t="s">
        <v>43</v>
      </c>
      <c r="G104" s="9">
        <v>5410</v>
      </c>
      <c r="H104" s="11">
        <v>25.13</v>
      </c>
      <c r="I104" s="11">
        <v>20.86</v>
      </c>
      <c r="J104" s="12">
        <v>7.5</v>
      </c>
      <c r="K104" s="15">
        <f t="shared" si="1"/>
        <v>4.2699999999999996</v>
      </c>
    </row>
    <row r="105" spans="1:11" ht="15.75" customHeight="1" x14ac:dyDescent="0.3">
      <c r="A105" s="8">
        <v>1104</v>
      </c>
      <c r="B105" s="8" t="s">
        <v>62</v>
      </c>
      <c r="C105" s="8" t="s">
        <v>55</v>
      </c>
      <c r="D105" s="8" t="s">
        <v>30</v>
      </c>
      <c r="E105" s="8" t="s">
        <v>37</v>
      </c>
      <c r="F105" s="8" t="s">
        <v>33</v>
      </c>
      <c r="G105" s="9">
        <v>4605</v>
      </c>
      <c r="H105" s="11">
        <v>27.64</v>
      </c>
      <c r="I105" s="11">
        <v>15.79</v>
      </c>
      <c r="J105" s="12">
        <v>6.6</v>
      </c>
      <c r="K105" s="15">
        <f t="shared" si="1"/>
        <v>11.850000000000001</v>
      </c>
    </row>
    <row r="106" spans="1:11" ht="15.75" customHeight="1" x14ac:dyDescent="0.3">
      <c r="A106" s="8">
        <v>1105</v>
      </c>
      <c r="B106" s="8" t="s">
        <v>62</v>
      </c>
      <c r="C106" s="8" t="s">
        <v>55</v>
      </c>
      <c r="D106" s="8" t="s">
        <v>40</v>
      </c>
      <c r="E106" s="8" t="s">
        <v>53</v>
      </c>
      <c r="F106" s="8" t="s">
        <v>43</v>
      </c>
      <c r="G106" s="9">
        <v>1598</v>
      </c>
      <c r="H106" s="11">
        <v>10.71</v>
      </c>
      <c r="I106" s="11">
        <v>8.3800000000000008</v>
      </c>
      <c r="J106" s="12">
        <v>7.8</v>
      </c>
      <c r="K106" s="15">
        <f t="shared" si="1"/>
        <v>2.33</v>
      </c>
    </row>
    <row r="107" spans="1:11" ht="15.75" customHeight="1" x14ac:dyDescent="0.3">
      <c r="A107" s="8">
        <v>1106</v>
      </c>
      <c r="B107" s="8" t="s">
        <v>62</v>
      </c>
      <c r="C107" s="8" t="s">
        <v>55</v>
      </c>
      <c r="D107" s="8" t="s">
        <v>40</v>
      </c>
      <c r="E107" s="8" t="s">
        <v>42</v>
      </c>
      <c r="F107" s="8" t="s">
        <v>43</v>
      </c>
      <c r="G107" s="9">
        <v>3399</v>
      </c>
      <c r="H107" s="11">
        <v>21.95</v>
      </c>
      <c r="I107" s="11">
        <v>15.81</v>
      </c>
      <c r="J107" s="12">
        <v>8.1</v>
      </c>
      <c r="K107" s="15">
        <f t="shared" si="1"/>
        <v>6.1399999999999988</v>
      </c>
    </row>
    <row r="108" spans="1:11" ht="15.75" customHeight="1" x14ac:dyDescent="0.3">
      <c r="A108" s="8">
        <v>1107</v>
      </c>
      <c r="B108" s="8" t="s">
        <v>62</v>
      </c>
      <c r="C108" s="8" t="s">
        <v>55</v>
      </c>
      <c r="D108" s="8" t="s">
        <v>49</v>
      </c>
      <c r="E108" s="8" t="s">
        <v>50</v>
      </c>
      <c r="F108" s="8" t="s">
        <v>57</v>
      </c>
      <c r="G108" s="9">
        <v>6411</v>
      </c>
      <c r="H108" s="11">
        <v>14.13</v>
      </c>
      <c r="I108" s="11">
        <v>11.8</v>
      </c>
      <c r="J108" s="12">
        <v>9.5</v>
      </c>
      <c r="K108" s="15">
        <f t="shared" si="1"/>
        <v>2.33</v>
      </c>
    </row>
    <row r="109" spans="1:11" ht="15.75" customHeight="1" x14ac:dyDescent="0.3">
      <c r="A109" s="8">
        <v>1108</v>
      </c>
      <c r="B109" s="8" t="s">
        <v>62</v>
      </c>
      <c r="C109" s="8" t="s">
        <v>55</v>
      </c>
      <c r="D109" s="8" t="s">
        <v>49</v>
      </c>
      <c r="E109" s="8" t="s">
        <v>54</v>
      </c>
      <c r="F109" s="8" t="s">
        <v>43</v>
      </c>
      <c r="G109" s="9">
        <v>4195</v>
      </c>
      <c r="H109" s="11">
        <v>7.95</v>
      </c>
      <c r="I109" s="11">
        <v>5.61</v>
      </c>
      <c r="J109" s="12">
        <v>7.5</v>
      </c>
      <c r="K109" s="15">
        <f t="shared" si="1"/>
        <v>2.34</v>
      </c>
    </row>
    <row r="110" spans="1:11" ht="15.75" customHeight="1" x14ac:dyDescent="0.3">
      <c r="A110" s="8">
        <v>1109</v>
      </c>
      <c r="B110" s="8" t="s">
        <v>62</v>
      </c>
      <c r="C110" s="8" t="s">
        <v>58</v>
      </c>
      <c r="D110" s="8" t="s">
        <v>30</v>
      </c>
      <c r="E110" s="8" t="s">
        <v>56</v>
      </c>
      <c r="F110" s="8" t="s">
        <v>43</v>
      </c>
      <c r="G110" s="9">
        <v>2945</v>
      </c>
      <c r="H110" s="11">
        <v>10.73</v>
      </c>
      <c r="I110" s="11">
        <v>7.02</v>
      </c>
      <c r="J110" s="12">
        <v>7.2</v>
      </c>
      <c r="K110" s="15">
        <f t="shared" si="1"/>
        <v>3.7100000000000009</v>
      </c>
    </row>
    <row r="111" spans="1:11" ht="15.75" customHeight="1" x14ac:dyDescent="0.3">
      <c r="A111" s="8">
        <v>1110</v>
      </c>
      <c r="B111" s="8" t="s">
        <v>62</v>
      </c>
      <c r="C111" s="8" t="s">
        <v>58</v>
      </c>
      <c r="D111" s="8" t="s">
        <v>30</v>
      </c>
      <c r="E111" s="8" t="s">
        <v>37</v>
      </c>
      <c r="F111" s="8" t="s">
        <v>33</v>
      </c>
      <c r="G111" s="9">
        <v>3778</v>
      </c>
      <c r="H111" s="11">
        <v>13.03</v>
      </c>
      <c r="I111" s="11">
        <v>8.2899999999999991</v>
      </c>
      <c r="J111" s="12">
        <v>9.3000000000000007</v>
      </c>
      <c r="K111" s="15">
        <f t="shared" si="1"/>
        <v>4.74</v>
      </c>
    </row>
    <row r="112" spans="1:11" ht="15.75" customHeight="1" x14ac:dyDescent="0.3">
      <c r="A112" s="8">
        <v>1111</v>
      </c>
      <c r="B112" s="8" t="s">
        <v>62</v>
      </c>
      <c r="C112" s="8" t="s">
        <v>58</v>
      </c>
      <c r="D112" s="8" t="s">
        <v>40</v>
      </c>
      <c r="E112" s="8" t="s">
        <v>42</v>
      </c>
      <c r="F112" s="8" t="s">
        <v>43</v>
      </c>
      <c r="G112" s="9">
        <v>903</v>
      </c>
      <c r="H112" s="11">
        <v>3.55</v>
      </c>
      <c r="I112" s="11">
        <v>2.6</v>
      </c>
      <c r="J112" s="12">
        <v>9</v>
      </c>
      <c r="K112" s="15">
        <f t="shared" si="1"/>
        <v>0.94999999999999973</v>
      </c>
    </row>
    <row r="113" spans="1:11" ht="15.75" customHeight="1" x14ac:dyDescent="0.3">
      <c r="A113" s="8">
        <v>1112</v>
      </c>
      <c r="B113" s="8" t="s">
        <v>62</v>
      </c>
      <c r="C113" s="8" t="s">
        <v>58</v>
      </c>
      <c r="D113" s="8" t="s">
        <v>40</v>
      </c>
      <c r="E113" s="8" t="s">
        <v>46</v>
      </c>
      <c r="F113" s="8" t="s">
        <v>33</v>
      </c>
      <c r="G113" s="9">
        <v>3030</v>
      </c>
      <c r="H113" s="11">
        <v>17.010000000000002</v>
      </c>
      <c r="I113" s="11">
        <v>9.4600000000000009</v>
      </c>
      <c r="J113" s="12">
        <v>7.3</v>
      </c>
      <c r="K113" s="15">
        <f t="shared" si="1"/>
        <v>7.5500000000000007</v>
      </c>
    </row>
    <row r="114" spans="1:11" ht="15.75" customHeight="1" x14ac:dyDescent="0.3">
      <c r="A114" s="8">
        <v>1113</v>
      </c>
      <c r="B114" s="8" t="s">
        <v>62</v>
      </c>
      <c r="C114" s="8" t="s">
        <v>58</v>
      </c>
      <c r="D114" s="8" t="s">
        <v>49</v>
      </c>
      <c r="E114" s="8" t="s">
        <v>51</v>
      </c>
      <c r="F114" s="8" t="s">
        <v>57</v>
      </c>
      <c r="G114" s="9">
        <v>1334</v>
      </c>
      <c r="H114" s="11">
        <v>2.31</v>
      </c>
      <c r="I114" s="11">
        <v>1.57</v>
      </c>
      <c r="J114" s="12">
        <v>8.4</v>
      </c>
      <c r="K114" s="15">
        <f t="shared" si="1"/>
        <v>0.74</v>
      </c>
    </row>
    <row r="115" spans="1:11" ht="15.75" customHeight="1" x14ac:dyDescent="0.3">
      <c r="A115" s="8">
        <v>1114</v>
      </c>
      <c r="B115" s="8" t="s">
        <v>62</v>
      </c>
      <c r="C115" s="8" t="s">
        <v>58</v>
      </c>
      <c r="D115" s="8" t="s">
        <v>49</v>
      </c>
      <c r="E115" s="8" t="s">
        <v>54</v>
      </c>
      <c r="F115" s="8" t="s">
        <v>57</v>
      </c>
      <c r="G115" s="9">
        <v>682</v>
      </c>
      <c r="H115" s="11">
        <v>1.27</v>
      </c>
      <c r="I115" s="11">
        <v>0.97</v>
      </c>
      <c r="J115" s="12">
        <v>7.1</v>
      </c>
      <c r="K115" s="15">
        <f t="shared" si="1"/>
        <v>0.30000000000000004</v>
      </c>
    </row>
    <row r="116" spans="1:11" ht="15.75" customHeight="1" x14ac:dyDescent="0.3">
      <c r="A116" s="8">
        <v>1115</v>
      </c>
      <c r="B116" s="8" t="s">
        <v>62</v>
      </c>
      <c r="C116" s="8" t="s">
        <v>59</v>
      </c>
      <c r="D116" s="8" t="s">
        <v>30</v>
      </c>
      <c r="E116" s="8" t="s">
        <v>37</v>
      </c>
      <c r="F116" s="8" t="s">
        <v>33</v>
      </c>
      <c r="G116" s="9">
        <v>1196</v>
      </c>
      <c r="H116" s="11">
        <v>5.92</v>
      </c>
      <c r="I116" s="11">
        <v>4.9400000000000004</v>
      </c>
      <c r="J116" s="12">
        <v>7.9</v>
      </c>
      <c r="K116" s="15">
        <f t="shared" si="1"/>
        <v>0.97999999999999954</v>
      </c>
    </row>
    <row r="117" spans="1:11" ht="15.75" customHeight="1" x14ac:dyDescent="0.3">
      <c r="A117" s="8">
        <v>1116</v>
      </c>
      <c r="B117" s="8" t="s">
        <v>62</v>
      </c>
      <c r="C117" s="8" t="s">
        <v>59</v>
      </c>
      <c r="D117" s="8" t="s">
        <v>30</v>
      </c>
      <c r="E117" s="8" t="s">
        <v>56</v>
      </c>
      <c r="F117" s="8" t="s">
        <v>33</v>
      </c>
      <c r="G117" s="9">
        <v>2061</v>
      </c>
      <c r="H117" s="11">
        <v>10.050000000000001</v>
      </c>
      <c r="I117" s="11">
        <v>6.35</v>
      </c>
      <c r="J117" s="12">
        <v>8.5</v>
      </c>
      <c r="K117" s="15">
        <f t="shared" si="1"/>
        <v>3.7000000000000011</v>
      </c>
    </row>
    <row r="118" spans="1:11" ht="15.75" customHeight="1" x14ac:dyDescent="0.3">
      <c r="A118" s="8">
        <v>1117</v>
      </c>
      <c r="B118" s="8" t="s">
        <v>62</v>
      </c>
      <c r="C118" s="8" t="s">
        <v>59</v>
      </c>
      <c r="D118" s="8" t="s">
        <v>40</v>
      </c>
      <c r="E118" s="8" t="s">
        <v>53</v>
      </c>
      <c r="F118" s="8" t="s">
        <v>43</v>
      </c>
      <c r="G118" s="9">
        <v>2228</v>
      </c>
      <c r="H118" s="11">
        <v>11.88</v>
      </c>
      <c r="I118" s="11">
        <v>7.75</v>
      </c>
      <c r="J118" s="12">
        <v>8.6999999999999993</v>
      </c>
      <c r="K118" s="15">
        <f t="shared" si="1"/>
        <v>4.1300000000000008</v>
      </c>
    </row>
    <row r="119" spans="1:11" ht="15.75" customHeight="1" x14ac:dyDescent="0.3">
      <c r="A119" s="8">
        <v>1118</v>
      </c>
      <c r="B119" s="8" t="s">
        <v>62</v>
      </c>
      <c r="C119" s="8" t="s">
        <v>59</v>
      </c>
      <c r="D119" s="8" t="s">
        <v>40</v>
      </c>
      <c r="E119" s="8" t="s">
        <v>46</v>
      </c>
      <c r="F119" s="8" t="s">
        <v>33</v>
      </c>
      <c r="G119" s="9">
        <v>1359</v>
      </c>
      <c r="H119" s="11">
        <v>9.2799999999999994</v>
      </c>
      <c r="I119" s="11">
        <v>7.24</v>
      </c>
      <c r="J119" s="12">
        <v>7.4</v>
      </c>
      <c r="K119" s="15">
        <f t="shared" si="1"/>
        <v>2.0399999999999991</v>
      </c>
    </row>
    <row r="120" spans="1:11" ht="15.75" customHeight="1" x14ac:dyDescent="0.3">
      <c r="A120" s="8">
        <v>1119</v>
      </c>
      <c r="B120" s="8" t="s">
        <v>62</v>
      </c>
      <c r="C120" s="8" t="s">
        <v>59</v>
      </c>
      <c r="D120" s="8" t="s">
        <v>49</v>
      </c>
      <c r="E120" s="8" t="s">
        <v>50</v>
      </c>
      <c r="F120" s="8" t="s">
        <v>43</v>
      </c>
      <c r="G120" s="9">
        <v>3132</v>
      </c>
      <c r="H120" s="11">
        <v>5.36</v>
      </c>
      <c r="I120" s="11">
        <v>4.34</v>
      </c>
      <c r="J120" s="12">
        <v>7.2</v>
      </c>
      <c r="K120" s="15">
        <f t="shared" si="1"/>
        <v>1.0200000000000005</v>
      </c>
    </row>
    <row r="121" spans="1:11" ht="15.75" customHeight="1" x14ac:dyDescent="0.3">
      <c r="A121" s="8">
        <v>1120</v>
      </c>
      <c r="B121" s="8" t="s">
        <v>62</v>
      </c>
      <c r="C121" s="8" t="s">
        <v>59</v>
      </c>
      <c r="D121" s="8" t="s">
        <v>49</v>
      </c>
      <c r="E121" s="8" t="s">
        <v>51</v>
      </c>
      <c r="F121" s="8" t="s">
        <v>43</v>
      </c>
      <c r="G121" s="9">
        <v>1576</v>
      </c>
      <c r="H121" s="11">
        <v>2.5499999999999998</v>
      </c>
      <c r="I121" s="11">
        <v>1.75</v>
      </c>
      <c r="J121" s="12">
        <v>6.7</v>
      </c>
      <c r="K121" s="15">
        <f t="shared" si="1"/>
        <v>0.79999999999999982</v>
      </c>
    </row>
    <row r="122" spans="1:11" ht="15.75" customHeight="1" x14ac:dyDescent="0.3">
      <c r="A122" s="8">
        <v>1121</v>
      </c>
      <c r="B122" s="8" t="s">
        <v>63</v>
      </c>
      <c r="C122" s="8" t="s">
        <v>29</v>
      </c>
      <c r="D122" s="8" t="s">
        <v>30</v>
      </c>
      <c r="E122" s="8" t="s">
        <v>37</v>
      </c>
      <c r="F122" s="8" t="s">
        <v>43</v>
      </c>
      <c r="G122" s="9">
        <v>3100</v>
      </c>
      <c r="H122" s="11">
        <v>14.37</v>
      </c>
      <c r="I122" s="11">
        <v>11.11</v>
      </c>
      <c r="J122" s="12">
        <v>8.5</v>
      </c>
      <c r="K122" s="15">
        <f t="shared" si="1"/>
        <v>3.26</v>
      </c>
    </row>
    <row r="123" spans="1:11" ht="15.75" customHeight="1" x14ac:dyDescent="0.3">
      <c r="A123" s="8">
        <v>1122</v>
      </c>
      <c r="B123" s="8" t="s">
        <v>63</v>
      </c>
      <c r="C123" s="8" t="s">
        <v>29</v>
      </c>
      <c r="D123" s="8" t="s">
        <v>30</v>
      </c>
      <c r="E123" s="8" t="s">
        <v>32</v>
      </c>
      <c r="F123" s="8" t="s">
        <v>43</v>
      </c>
      <c r="G123" s="9">
        <v>4320</v>
      </c>
      <c r="H123" s="11">
        <v>21.4</v>
      </c>
      <c r="I123" s="11">
        <v>18.07</v>
      </c>
      <c r="J123" s="12">
        <v>7.7</v>
      </c>
      <c r="K123" s="15">
        <f t="shared" si="1"/>
        <v>3.3299999999999983</v>
      </c>
    </row>
    <row r="124" spans="1:11" ht="15.75" customHeight="1" x14ac:dyDescent="0.3">
      <c r="A124" s="8">
        <v>1123</v>
      </c>
      <c r="B124" s="8" t="s">
        <v>63</v>
      </c>
      <c r="C124" s="8" t="s">
        <v>29</v>
      </c>
      <c r="D124" s="8" t="s">
        <v>40</v>
      </c>
      <c r="E124" s="8" t="s">
        <v>46</v>
      </c>
      <c r="F124" s="8" t="s">
        <v>43</v>
      </c>
      <c r="G124" s="9">
        <v>8191</v>
      </c>
      <c r="H124" s="11">
        <v>59.65</v>
      </c>
      <c r="I124" s="11">
        <v>39.24</v>
      </c>
      <c r="J124" s="12">
        <v>7.6</v>
      </c>
      <c r="K124" s="15">
        <f t="shared" si="1"/>
        <v>20.409999999999997</v>
      </c>
    </row>
    <row r="125" spans="1:11" ht="15.75" customHeight="1" x14ac:dyDescent="0.3">
      <c r="A125" s="8">
        <v>1124</v>
      </c>
      <c r="B125" s="8" t="s">
        <v>63</v>
      </c>
      <c r="C125" s="8" t="s">
        <v>29</v>
      </c>
      <c r="D125" s="8" t="s">
        <v>40</v>
      </c>
      <c r="E125" s="8" t="s">
        <v>42</v>
      </c>
      <c r="F125" s="8" t="s">
        <v>33</v>
      </c>
      <c r="G125" s="9">
        <v>4512</v>
      </c>
      <c r="H125" s="11">
        <v>26.35</v>
      </c>
      <c r="I125" s="11">
        <v>16.89</v>
      </c>
      <c r="J125" s="12">
        <v>9.4</v>
      </c>
      <c r="K125" s="15">
        <f t="shared" si="1"/>
        <v>9.4600000000000009</v>
      </c>
    </row>
    <row r="126" spans="1:11" ht="15.75" customHeight="1" x14ac:dyDescent="0.3">
      <c r="A126" s="8">
        <v>1125</v>
      </c>
      <c r="B126" s="8" t="s">
        <v>63</v>
      </c>
      <c r="C126" s="8" t="s">
        <v>29</v>
      </c>
      <c r="D126" s="8" t="s">
        <v>49</v>
      </c>
      <c r="E126" s="8" t="s">
        <v>51</v>
      </c>
      <c r="F126" s="8" t="s">
        <v>57</v>
      </c>
      <c r="G126" s="9">
        <v>8047</v>
      </c>
      <c r="H126" s="11">
        <v>19.02</v>
      </c>
      <c r="I126" s="11">
        <v>12.63</v>
      </c>
      <c r="J126" s="12">
        <v>7.1</v>
      </c>
      <c r="K126" s="15">
        <f t="shared" si="1"/>
        <v>6.3899999999999988</v>
      </c>
    </row>
    <row r="127" spans="1:11" ht="15.75" customHeight="1" x14ac:dyDescent="0.3">
      <c r="A127" s="8">
        <v>1126</v>
      </c>
      <c r="B127" s="8" t="s">
        <v>63</v>
      </c>
      <c r="C127" s="8" t="s">
        <v>29</v>
      </c>
      <c r="D127" s="8" t="s">
        <v>49</v>
      </c>
      <c r="E127" s="8" t="s">
        <v>54</v>
      </c>
      <c r="F127" s="8" t="s">
        <v>43</v>
      </c>
      <c r="G127" s="9">
        <v>8212</v>
      </c>
      <c r="H127" s="11">
        <v>4.29</v>
      </c>
      <c r="I127" s="11">
        <v>3.17</v>
      </c>
      <c r="J127" s="12">
        <v>9.1999999999999993</v>
      </c>
      <c r="K127" s="15">
        <f t="shared" si="1"/>
        <v>1.1200000000000001</v>
      </c>
    </row>
    <row r="128" spans="1:11" ht="15.75" customHeight="1" x14ac:dyDescent="0.3">
      <c r="A128" s="8">
        <v>1127</v>
      </c>
      <c r="B128" s="8" t="s">
        <v>63</v>
      </c>
      <c r="C128" s="8" t="s">
        <v>52</v>
      </c>
      <c r="D128" s="8" t="s">
        <v>30</v>
      </c>
      <c r="E128" s="8" t="s">
        <v>37</v>
      </c>
      <c r="F128" s="8" t="s">
        <v>43</v>
      </c>
      <c r="G128" s="9">
        <v>7382</v>
      </c>
      <c r="H128" s="11">
        <v>38.729999999999997</v>
      </c>
      <c r="I128" s="11">
        <v>22.47</v>
      </c>
      <c r="J128" s="12">
        <v>6.6</v>
      </c>
      <c r="K128" s="15">
        <f t="shared" si="1"/>
        <v>16.259999999999998</v>
      </c>
    </row>
    <row r="129" spans="1:11" ht="15.75" customHeight="1" x14ac:dyDescent="0.3">
      <c r="A129" s="8">
        <v>1128</v>
      </c>
      <c r="B129" s="8" t="s">
        <v>63</v>
      </c>
      <c r="C129" s="8" t="s">
        <v>52</v>
      </c>
      <c r="D129" s="8" t="s">
        <v>30</v>
      </c>
      <c r="E129" s="8" t="s">
        <v>32</v>
      </c>
      <c r="F129" s="8" t="s">
        <v>43</v>
      </c>
      <c r="G129" s="9">
        <v>6894</v>
      </c>
      <c r="H129" s="11">
        <v>15.95</v>
      </c>
      <c r="I129" s="11">
        <v>10.18</v>
      </c>
      <c r="J129" s="12">
        <v>7.3</v>
      </c>
      <c r="K129" s="15">
        <f t="shared" si="1"/>
        <v>5.77</v>
      </c>
    </row>
    <row r="130" spans="1:11" ht="15.75" customHeight="1" x14ac:dyDescent="0.3">
      <c r="A130" s="8">
        <v>1129</v>
      </c>
      <c r="B130" s="8" t="s">
        <v>63</v>
      </c>
      <c r="C130" s="8" t="s">
        <v>52</v>
      </c>
      <c r="D130" s="8" t="s">
        <v>40</v>
      </c>
      <c r="E130" s="8" t="s">
        <v>46</v>
      </c>
      <c r="F130" s="8" t="s">
        <v>43</v>
      </c>
      <c r="G130" s="9">
        <v>4693</v>
      </c>
      <c r="H130" s="11">
        <v>30.52</v>
      </c>
      <c r="I130" s="11">
        <v>15.98</v>
      </c>
      <c r="J130" s="12">
        <v>9</v>
      </c>
      <c r="K130" s="15">
        <f t="shared" ref="K130:K193" si="2">H130-I130</f>
        <v>14.54</v>
      </c>
    </row>
    <row r="131" spans="1:11" ht="15.75" customHeight="1" x14ac:dyDescent="0.3">
      <c r="A131" s="8">
        <v>1130</v>
      </c>
      <c r="B131" s="8" t="s">
        <v>63</v>
      </c>
      <c r="C131" s="8" t="s">
        <v>52</v>
      </c>
      <c r="D131" s="8" t="s">
        <v>40</v>
      </c>
      <c r="E131" s="8" t="s">
        <v>42</v>
      </c>
      <c r="F131" s="8" t="s">
        <v>33</v>
      </c>
      <c r="G131" s="9">
        <v>4248</v>
      </c>
      <c r="H131" s="11">
        <v>23.78</v>
      </c>
      <c r="I131" s="11">
        <v>16.440000000000001</v>
      </c>
      <c r="J131" s="12">
        <v>7.6</v>
      </c>
      <c r="K131" s="15">
        <f t="shared" si="2"/>
        <v>7.34</v>
      </c>
    </row>
    <row r="132" spans="1:11" ht="15.75" customHeight="1" x14ac:dyDescent="0.3">
      <c r="A132" s="8">
        <v>1131</v>
      </c>
      <c r="B132" s="8" t="s">
        <v>63</v>
      </c>
      <c r="C132" s="8" t="s">
        <v>52</v>
      </c>
      <c r="D132" s="8" t="s">
        <v>49</v>
      </c>
      <c r="E132" s="8" t="s">
        <v>54</v>
      </c>
      <c r="F132" s="8" t="s">
        <v>43</v>
      </c>
      <c r="G132" s="9">
        <v>6879</v>
      </c>
      <c r="H132" s="11">
        <v>11.89</v>
      </c>
      <c r="I132" s="11">
        <v>8.1199999999999992</v>
      </c>
      <c r="J132" s="12">
        <v>7.2</v>
      </c>
      <c r="K132" s="15">
        <f t="shared" si="2"/>
        <v>3.7700000000000014</v>
      </c>
    </row>
    <row r="133" spans="1:11" ht="15.75" customHeight="1" x14ac:dyDescent="0.3">
      <c r="A133" s="8">
        <v>1132</v>
      </c>
      <c r="B133" s="8" t="s">
        <v>63</v>
      </c>
      <c r="C133" s="8" t="s">
        <v>52</v>
      </c>
      <c r="D133" s="8" t="s">
        <v>49</v>
      </c>
      <c r="E133" s="8" t="s">
        <v>50</v>
      </c>
      <c r="F133" s="8" t="s">
        <v>43</v>
      </c>
      <c r="G133" s="9">
        <v>5169</v>
      </c>
      <c r="H133" s="11">
        <v>6.62</v>
      </c>
      <c r="I133" s="11">
        <v>5.32</v>
      </c>
      <c r="J133" s="12">
        <v>6.7</v>
      </c>
      <c r="K133" s="15">
        <f t="shared" si="2"/>
        <v>1.2999999999999998</v>
      </c>
    </row>
    <row r="134" spans="1:11" ht="15.75" customHeight="1" x14ac:dyDescent="0.3">
      <c r="A134" s="8">
        <v>1133</v>
      </c>
      <c r="B134" s="8" t="s">
        <v>63</v>
      </c>
      <c r="C134" s="8" t="s">
        <v>55</v>
      </c>
      <c r="D134" s="8" t="s">
        <v>30</v>
      </c>
      <c r="E134" s="8" t="s">
        <v>56</v>
      </c>
      <c r="F134" s="8" t="s">
        <v>33</v>
      </c>
      <c r="G134" s="9">
        <v>2318</v>
      </c>
      <c r="H134" s="11">
        <v>10.09</v>
      </c>
      <c r="I134" s="11">
        <v>8.5500000000000007</v>
      </c>
      <c r="J134" s="12">
        <v>7</v>
      </c>
      <c r="K134" s="15">
        <f t="shared" si="2"/>
        <v>1.5399999999999991</v>
      </c>
    </row>
    <row r="135" spans="1:11" ht="15.75" customHeight="1" x14ac:dyDescent="0.3">
      <c r="A135" s="8">
        <v>1134</v>
      </c>
      <c r="B135" s="8" t="s">
        <v>63</v>
      </c>
      <c r="C135" s="8" t="s">
        <v>55</v>
      </c>
      <c r="D135" s="8" t="s">
        <v>30</v>
      </c>
      <c r="E135" s="8" t="s">
        <v>32</v>
      </c>
      <c r="F135" s="8" t="s">
        <v>43</v>
      </c>
      <c r="G135" s="9">
        <v>2539</v>
      </c>
      <c r="H135" s="11">
        <v>11.23</v>
      </c>
      <c r="I135" s="11">
        <v>8.69</v>
      </c>
      <c r="J135" s="12">
        <v>6.2</v>
      </c>
      <c r="K135" s="15">
        <f t="shared" si="2"/>
        <v>2.5400000000000009</v>
      </c>
    </row>
    <row r="136" spans="1:11" ht="15.75" customHeight="1" x14ac:dyDescent="0.3">
      <c r="A136" s="8">
        <v>1135</v>
      </c>
      <c r="B136" s="8" t="s">
        <v>63</v>
      </c>
      <c r="C136" s="8" t="s">
        <v>55</v>
      </c>
      <c r="D136" s="8" t="s">
        <v>40</v>
      </c>
      <c r="E136" s="8" t="s">
        <v>42</v>
      </c>
      <c r="F136" s="8" t="s">
        <v>43</v>
      </c>
      <c r="G136" s="9">
        <v>5510</v>
      </c>
      <c r="H136" s="11">
        <v>24.25</v>
      </c>
      <c r="I136" s="11">
        <v>13.72</v>
      </c>
      <c r="J136" s="12">
        <v>6.7</v>
      </c>
      <c r="K136" s="15">
        <f t="shared" si="2"/>
        <v>10.53</v>
      </c>
    </row>
    <row r="137" spans="1:11" ht="15.75" customHeight="1" x14ac:dyDescent="0.3">
      <c r="A137" s="8">
        <v>1136</v>
      </c>
      <c r="B137" s="8" t="s">
        <v>63</v>
      </c>
      <c r="C137" s="8" t="s">
        <v>55</v>
      </c>
      <c r="D137" s="8" t="s">
        <v>40</v>
      </c>
      <c r="E137" s="8" t="s">
        <v>53</v>
      </c>
      <c r="F137" s="8" t="s">
        <v>43</v>
      </c>
      <c r="G137" s="9">
        <v>4929</v>
      </c>
      <c r="H137" s="11">
        <v>33.590000000000003</v>
      </c>
      <c r="I137" s="11">
        <v>25.24</v>
      </c>
      <c r="J137" s="12">
        <v>8.1999999999999993</v>
      </c>
      <c r="K137" s="15">
        <f t="shared" si="2"/>
        <v>8.350000000000005</v>
      </c>
    </row>
    <row r="138" spans="1:11" ht="15.75" customHeight="1" x14ac:dyDescent="0.3">
      <c r="A138" s="8">
        <v>1137</v>
      </c>
      <c r="B138" s="8" t="s">
        <v>63</v>
      </c>
      <c r="C138" s="8" t="s">
        <v>55</v>
      </c>
      <c r="D138" s="8" t="s">
        <v>49</v>
      </c>
      <c r="E138" s="8" t="s">
        <v>54</v>
      </c>
      <c r="F138" s="8" t="s">
        <v>43</v>
      </c>
      <c r="G138" s="9">
        <v>5586</v>
      </c>
      <c r="H138" s="11">
        <v>3.08</v>
      </c>
      <c r="I138" s="11">
        <v>1.82</v>
      </c>
      <c r="J138" s="12">
        <v>9.1999999999999993</v>
      </c>
      <c r="K138" s="15">
        <f t="shared" si="2"/>
        <v>1.26</v>
      </c>
    </row>
    <row r="139" spans="1:11" ht="15.75" customHeight="1" x14ac:dyDescent="0.3">
      <c r="A139" s="8">
        <v>1138</v>
      </c>
      <c r="B139" s="8" t="s">
        <v>63</v>
      </c>
      <c r="C139" s="8" t="s">
        <v>55</v>
      </c>
      <c r="D139" s="8" t="s">
        <v>49</v>
      </c>
      <c r="E139" s="8" t="s">
        <v>50</v>
      </c>
      <c r="F139" s="8" t="s">
        <v>43</v>
      </c>
      <c r="G139" s="9">
        <v>5343</v>
      </c>
      <c r="H139" s="11">
        <v>4.21</v>
      </c>
      <c r="I139" s="11">
        <v>3</v>
      </c>
      <c r="J139" s="12">
        <v>9.4</v>
      </c>
      <c r="K139" s="15">
        <f t="shared" si="2"/>
        <v>1.21</v>
      </c>
    </row>
    <row r="140" spans="1:11" ht="15.75" customHeight="1" x14ac:dyDescent="0.3">
      <c r="A140" s="8">
        <v>1139</v>
      </c>
      <c r="B140" s="8" t="s">
        <v>63</v>
      </c>
      <c r="C140" s="8" t="s">
        <v>58</v>
      </c>
      <c r="D140" s="8" t="s">
        <v>30</v>
      </c>
      <c r="E140" s="8" t="s">
        <v>32</v>
      </c>
      <c r="F140" s="8" t="s">
        <v>33</v>
      </c>
      <c r="G140" s="9">
        <v>1582</v>
      </c>
      <c r="H140" s="11">
        <v>8.35</v>
      </c>
      <c r="I140" s="11">
        <v>6.61</v>
      </c>
      <c r="J140" s="12">
        <v>8.6</v>
      </c>
      <c r="K140" s="15">
        <f t="shared" si="2"/>
        <v>1.7399999999999993</v>
      </c>
    </row>
    <row r="141" spans="1:11" ht="15.75" customHeight="1" x14ac:dyDescent="0.3">
      <c r="A141" s="8">
        <v>1140</v>
      </c>
      <c r="B141" s="8" t="s">
        <v>63</v>
      </c>
      <c r="C141" s="8" t="s">
        <v>58</v>
      </c>
      <c r="D141" s="8" t="s">
        <v>30</v>
      </c>
      <c r="E141" s="8" t="s">
        <v>56</v>
      </c>
      <c r="F141" s="8" t="s">
        <v>43</v>
      </c>
      <c r="G141" s="9">
        <v>3691</v>
      </c>
      <c r="H141" s="11">
        <v>13.08</v>
      </c>
      <c r="I141" s="11">
        <v>10.15</v>
      </c>
      <c r="J141" s="12">
        <v>6.8</v>
      </c>
      <c r="K141" s="15">
        <f t="shared" si="2"/>
        <v>2.9299999999999997</v>
      </c>
    </row>
    <row r="142" spans="1:11" ht="15.75" customHeight="1" x14ac:dyDescent="0.3">
      <c r="A142" s="8">
        <v>1141</v>
      </c>
      <c r="B142" s="8" t="s">
        <v>63</v>
      </c>
      <c r="C142" s="8" t="s">
        <v>58</v>
      </c>
      <c r="D142" s="8" t="s">
        <v>40</v>
      </c>
      <c r="E142" s="8" t="s">
        <v>42</v>
      </c>
      <c r="F142" s="8" t="s">
        <v>43</v>
      </c>
      <c r="G142" s="9">
        <v>940</v>
      </c>
      <c r="H142" s="11">
        <v>4.45</v>
      </c>
      <c r="I142" s="11">
        <v>2.39</v>
      </c>
      <c r="J142" s="12">
        <v>7.3</v>
      </c>
      <c r="K142" s="15">
        <f t="shared" si="2"/>
        <v>2.06</v>
      </c>
    </row>
    <row r="143" spans="1:11" ht="15.75" customHeight="1" x14ac:dyDescent="0.3">
      <c r="A143" s="8">
        <v>1142</v>
      </c>
      <c r="B143" s="8" t="s">
        <v>63</v>
      </c>
      <c r="C143" s="8" t="s">
        <v>58</v>
      </c>
      <c r="D143" s="8" t="s">
        <v>40</v>
      </c>
      <c r="E143" s="8" t="s">
        <v>53</v>
      </c>
      <c r="F143" s="8" t="s">
        <v>43</v>
      </c>
      <c r="G143" s="9">
        <v>2845</v>
      </c>
      <c r="H143" s="11">
        <v>22.02</v>
      </c>
      <c r="I143" s="11">
        <v>11.73</v>
      </c>
      <c r="J143" s="12">
        <v>6.8</v>
      </c>
      <c r="K143" s="15">
        <f t="shared" si="2"/>
        <v>10.29</v>
      </c>
    </row>
    <row r="144" spans="1:11" ht="15.75" customHeight="1" x14ac:dyDescent="0.3">
      <c r="A144" s="8">
        <v>1143</v>
      </c>
      <c r="B144" s="8" t="s">
        <v>63</v>
      </c>
      <c r="C144" s="8" t="s">
        <v>58</v>
      </c>
      <c r="D144" s="8" t="s">
        <v>49</v>
      </c>
      <c r="E144" s="8" t="s">
        <v>50</v>
      </c>
      <c r="F144" s="8" t="s">
        <v>57</v>
      </c>
      <c r="G144" s="9">
        <v>3088</v>
      </c>
      <c r="H144" s="11">
        <v>5.43</v>
      </c>
      <c r="I144" s="11">
        <v>4.13</v>
      </c>
      <c r="J144" s="12">
        <v>8.3000000000000007</v>
      </c>
      <c r="K144" s="15">
        <f t="shared" si="2"/>
        <v>1.2999999999999998</v>
      </c>
    </row>
    <row r="145" spans="1:11" ht="15.75" customHeight="1" x14ac:dyDescent="0.3">
      <c r="A145" s="8">
        <v>1144</v>
      </c>
      <c r="B145" s="8" t="s">
        <v>63</v>
      </c>
      <c r="C145" s="8" t="s">
        <v>58</v>
      </c>
      <c r="D145" s="8" t="s">
        <v>49</v>
      </c>
      <c r="E145" s="8" t="s">
        <v>51</v>
      </c>
      <c r="F145" s="8" t="s">
        <v>57</v>
      </c>
      <c r="G145" s="9">
        <v>1131</v>
      </c>
      <c r="H145" s="11">
        <v>2.6</v>
      </c>
      <c r="I145" s="11">
        <v>1.81</v>
      </c>
      <c r="J145" s="12">
        <v>6.3</v>
      </c>
      <c r="K145" s="15">
        <f t="shared" si="2"/>
        <v>0.79</v>
      </c>
    </row>
    <row r="146" spans="1:11" ht="15.75" customHeight="1" x14ac:dyDescent="0.3">
      <c r="A146" s="8">
        <v>1145</v>
      </c>
      <c r="B146" s="8" t="s">
        <v>63</v>
      </c>
      <c r="C146" s="8" t="s">
        <v>59</v>
      </c>
      <c r="D146" s="8" t="s">
        <v>30</v>
      </c>
      <c r="E146" s="8" t="s">
        <v>32</v>
      </c>
      <c r="F146" s="8" t="s">
        <v>43</v>
      </c>
      <c r="G146" s="9">
        <v>1980</v>
      </c>
      <c r="H146" s="11">
        <v>9.7200000000000006</v>
      </c>
      <c r="I146" s="11">
        <v>8.1</v>
      </c>
      <c r="J146" s="12">
        <v>7.1</v>
      </c>
      <c r="K146" s="15">
        <f t="shared" si="2"/>
        <v>1.620000000000001</v>
      </c>
    </row>
    <row r="147" spans="1:11" ht="15.75" customHeight="1" x14ac:dyDescent="0.3">
      <c r="A147" s="8">
        <v>1146</v>
      </c>
      <c r="B147" s="8" t="s">
        <v>63</v>
      </c>
      <c r="C147" s="8" t="s">
        <v>59</v>
      </c>
      <c r="D147" s="8" t="s">
        <v>30</v>
      </c>
      <c r="E147" s="8" t="s">
        <v>37</v>
      </c>
      <c r="F147" s="8" t="s">
        <v>33</v>
      </c>
      <c r="G147" s="9">
        <v>3388</v>
      </c>
      <c r="H147" s="11">
        <v>16.7</v>
      </c>
      <c r="I147" s="11">
        <v>12.27</v>
      </c>
      <c r="J147" s="12">
        <v>8.9</v>
      </c>
      <c r="K147" s="15">
        <f t="shared" si="2"/>
        <v>4.43</v>
      </c>
    </row>
    <row r="148" spans="1:11" ht="15.75" customHeight="1" x14ac:dyDescent="0.3">
      <c r="A148" s="8">
        <v>1147</v>
      </c>
      <c r="B148" s="8" t="s">
        <v>63</v>
      </c>
      <c r="C148" s="8" t="s">
        <v>59</v>
      </c>
      <c r="D148" s="8" t="s">
        <v>40</v>
      </c>
      <c r="E148" s="8" t="s">
        <v>53</v>
      </c>
      <c r="F148" s="8" t="s">
        <v>43</v>
      </c>
      <c r="G148" s="9">
        <v>1209</v>
      </c>
      <c r="H148" s="11">
        <v>5.98</v>
      </c>
      <c r="I148" s="11">
        <v>3.64</v>
      </c>
      <c r="J148" s="12">
        <v>9</v>
      </c>
      <c r="K148" s="15">
        <f t="shared" si="2"/>
        <v>2.3400000000000003</v>
      </c>
    </row>
    <row r="149" spans="1:11" ht="15.75" customHeight="1" x14ac:dyDescent="0.3">
      <c r="A149" s="8">
        <v>1148</v>
      </c>
      <c r="B149" s="8" t="s">
        <v>63</v>
      </c>
      <c r="C149" s="8" t="s">
        <v>59</v>
      </c>
      <c r="D149" s="8" t="s">
        <v>40</v>
      </c>
      <c r="E149" s="8" t="s">
        <v>46</v>
      </c>
      <c r="F149" s="8" t="s">
        <v>43</v>
      </c>
      <c r="G149" s="9">
        <v>2276</v>
      </c>
      <c r="H149" s="11">
        <v>17.45</v>
      </c>
      <c r="I149" s="11">
        <v>10.81</v>
      </c>
      <c r="J149" s="12">
        <v>6.3</v>
      </c>
      <c r="K149" s="15">
        <f t="shared" si="2"/>
        <v>6.6399999999999988</v>
      </c>
    </row>
    <row r="150" spans="1:11" ht="15.75" customHeight="1" x14ac:dyDescent="0.3">
      <c r="A150" s="8">
        <v>1149</v>
      </c>
      <c r="B150" s="8" t="s">
        <v>63</v>
      </c>
      <c r="C150" s="8" t="s">
        <v>59</v>
      </c>
      <c r="D150" s="8" t="s">
        <v>49</v>
      </c>
      <c r="E150" s="8" t="s">
        <v>50</v>
      </c>
      <c r="F150" s="8" t="s">
        <v>57</v>
      </c>
      <c r="G150" s="9">
        <v>2662</v>
      </c>
      <c r="H150" s="11">
        <v>4.84</v>
      </c>
      <c r="I150" s="11">
        <v>2.69</v>
      </c>
      <c r="J150" s="12">
        <v>8.4</v>
      </c>
      <c r="K150" s="15">
        <f t="shared" si="2"/>
        <v>2.15</v>
      </c>
    </row>
    <row r="151" spans="1:11" ht="15.75" customHeight="1" x14ac:dyDescent="0.3">
      <c r="A151" s="8">
        <v>1150</v>
      </c>
      <c r="B151" s="8" t="s">
        <v>63</v>
      </c>
      <c r="C151" s="8" t="s">
        <v>59</v>
      </c>
      <c r="D151" s="8" t="s">
        <v>49</v>
      </c>
      <c r="E151" s="8" t="s">
        <v>51</v>
      </c>
      <c r="F151" s="8" t="s">
        <v>57</v>
      </c>
      <c r="G151" s="9">
        <v>3725</v>
      </c>
      <c r="H151" s="11">
        <v>7.27</v>
      </c>
      <c r="I151" s="11">
        <v>5.81</v>
      </c>
      <c r="J151" s="12">
        <v>7.5</v>
      </c>
      <c r="K151" s="15">
        <f t="shared" si="2"/>
        <v>1.46</v>
      </c>
    </row>
    <row r="152" spans="1:11" ht="15.75" customHeight="1" x14ac:dyDescent="0.3">
      <c r="A152" s="8">
        <v>1151</v>
      </c>
      <c r="B152" s="8" t="s">
        <v>64</v>
      </c>
      <c r="C152" s="8" t="s">
        <v>29</v>
      </c>
      <c r="D152" s="8" t="s">
        <v>30</v>
      </c>
      <c r="E152" s="8" t="s">
        <v>32</v>
      </c>
      <c r="F152" s="8" t="s">
        <v>33</v>
      </c>
      <c r="G152" s="9">
        <v>3979</v>
      </c>
      <c r="H152" s="11">
        <v>11.13</v>
      </c>
      <c r="I152" s="11">
        <v>6.13</v>
      </c>
      <c r="J152" s="12">
        <v>9</v>
      </c>
      <c r="K152" s="15">
        <f t="shared" si="2"/>
        <v>5.0000000000000009</v>
      </c>
    </row>
    <row r="153" spans="1:11" ht="15.75" customHeight="1" x14ac:dyDescent="0.3">
      <c r="A153" s="8">
        <v>1152</v>
      </c>
      <c r="B153" s="8" t="s">
        <v>64</v>
      </c>
      <c r="C153" s="8" t="s">
        <v>29</v>
      </c>
      <c r="D153" s="8" t="s">
        <v>30</v>
      </c>
      <c r="E153" s="8" t="s">
        <v>37</v>
      </c>
      <c r="F153" s="8" t="s">
        <v>33</v>
      </c>
      <c r="G153" s="9">
        <v>9414</v>
      </c>
      <c r="H153" s="11">
        <v>41.51</v>
      </c>
      <c r="I153" s="11">
        <v>24.2</v>
      </c>
      <c r="J153" s="12">
        <v>9</v>
      </c>
      <c r="K153" s="15">
        <f t="shared" si="2"/>
        <v>17.309999999999999</v>
      </c>
    </row>
    <row r="154" spans="1:11" ht="15.75" customHeight="1" x14ac:dyDescent="0.3">
      <c r="A154" s="8">
        <v>1153</v>
      </c>
      <c r="B154" s="8" t="s">
        <v>64</v>
      </c>
      <c r="C154" s="8" t="s">
        <v>29</v>
      </c>
      <c r="D154" s="8" t="s">
        <v>40</v>
      </c>
      <c r="E154" s="8" t="s">
        <v>46</v>
      </c>
      <c r="F154" s="8" t="s">
        <v>43</v>
      </c>
      <c r="G154" s="9">
        <v>7785</v>
      </c>
      <c r="H154" s="11">
        <v>31.47</v>
      </c>
      <c r="I154" s="11">
        <v>17.38</v>
      </c>
      <c r="J154" s="12">
        <v>6.2</v>
      </c>
      <c r="K154" s="15">
        <f t="shared" si="2"/>
        <v>14.09</v>
      </c>
    </row>
    <row r="155" spans="1:11" ht="15.75" customHeight="1" x14ac:dyDescent="0.3">
      <c r="A155" s="8">
        <v>1154</v>
      </c>
      <c r="B155" s="8" t="s">
        <v>64</v>
      </c>
      <c r="C155" s="8" t="s">
        <v>29</v>
      </c>
      <c r="D155" s="8" t="s">
        <v>40</v>
      </c>
      <c r="E155" s="8" t="s">
        <v>42</v>
      </c>
      <c r="F155" s="8" t="s">
        <v>43</v>
      </c>
      <c r="G155" s="9">
        <v>5608</v>
      </c>
      <c r="H155" s="11">
        <v>37.549999999999997</v>
      </c>
      <c r="I155" s="11">
        <v>27.54</v>
      </c>
      <c r="J155" s="12">
        <v>7.8</v>
      </c>
      <c r="K155" s="15">
        <f t="shared" si="2"/>
        <v>10.009999999999998</v>
      </c>
    </row>
    <row r="156" spans="1:11" ht="15.75" customHeight="1" x14ac:dyDescent="0.3">
      <c r="A156" s="8">
        <v>1155</v>
      </c>
      <c r="B156" s="8" t="s">
        <v>64</v>
      </c>
      <c r="C156" s="8" t="s">
        <v>29</v>
      </c>
      <c r="D156" s="8" t="s">
        <v>49</v>
      </c>
      <c r="E156" s="8" t="s">
        <v>50</v>
      </c>
      <c r="F156" s="8" t="s">
        <v>57</v>
      </c>
      <c r="G156" s="9">
        <v>9067</v>
      </c>
      <c r="H156" s="11">
        <v>5.62</v>
      </c>
      <c r="I156" s="11">
        <v>4.55</v>
      </c>
      <c r="J156" s="12">
        <v>7.8</v>
      </c>
      <c r="K156" s="15">
        <f t="shared" si="2"/>
        <v>1.0700000000000003</v>
      </c>
    </row>
    <row r="157" spans="1:11" ht="15.75" customHeight="1" x14ac:dyDescent="0.3">
      <c r="A157" s="8">
        <v>1156</v>
      </c>
      <c r="B157" s="8" t="s">
        <v>64</v>
      </c>
      <c r="C157" s="8" t="s">
        <v>29</v>
      </c>
      <c r="D157" s="8" t="s">
        <v>49</v>
      </c>
      <c r="E157" s="8" t="s">
        <v>51</v>
      </c>
      <c r="F157" s="8" t="s">
        <v>43</v>
      </c>
      <c r="G157" s="9">
        <v>6575</v>
      </c>
      <c r="H157" s="11">
        <v>4.07</v>
      </c>
      <c r="I157" s="11">
        <v>3.27</v>
      </c>
      <c r="J157" s="12">
        <v>7.5</v>
      </c>
      <c r="K157" s="15">
        <f t="shared" si="2"/>
        <v>0.80000000000000027</v>
      </c>
    </row>
    <row r="158" spans="1:11" ht="15.75" customHeight="1" x14ac:dyDescent="0.3">
      <c r="A158" s="8">
        <v>1157</v>
      </c>
      <c r="B158" s="8" t="s">
        <v>64</v>
      </c>
      <c r="C158" s="8" t="s">
        <v>52</v>
      </c>
      <c r="D158" s="8" t="s">
        <v>30</v>
      </c>
      <c r="E158" s="8" t="s">
        <v>37</v>
      </c>
      <c r="F158" s="8" t="s">
        <v>43</v>
      </c>
      <c r="G158" s="9">
        <v>1527</v>
      </c>
      <c r="H158" s="11">
        <v>3.62</v>
      </c>
      <c r="I158" s="11">
        <v>2.06</v>
      </c>
      <c r="J158" s="12">
        <v>7</v>
      </c>
      <c r="K158" s="15">
        <f t="shared" si="2"/>
        <v>1.56</v>
      </c>
    </row>
    <row r="159" spans="1:11" ht="15.75" customHeight="1" x14ac:dyDescent="0.3">
      <c r="A159" s="8">
        <v>1158</v>
      </c>
      <c r="B159" s="8" t="s">
        <v>64</v>
      </c>
      <c r="C159" s="8" t="s">
        <v>52</v>
      </c>
      <c r="D159" s="8" t="s">
        <v>30</v>
      </c>
      <c r="E159" s="8" t="s">
        <v>56</v>
      </c>
      <c r="F159" s="8" t="s">
        <v>43</v>
      </c>
      <c r="G159" s="9">
        <v>3594</v>
      </c>
      <c r="H159" s="11">
        <v>15.13</v>
      </c>
      <c r="I159" s="11">
        <v>10.62</v>
      </c>
      <c r="J159" s="12">
        <v>7.5</v>
      </c>
      <c r="K159" s="15">
        <f t="shared" si="2"/>
        <v>4.5100000000000016</v>
      </c>
    </row>
    <row r="160" spans="1:11" ht="15.75" customHeight="1" x14ac:dyDescent="0.3">
      <c r="A160" s="8">
        <v>1159</v>
      </c>
      <c r="B160" s="8" t="s">
        <v>64</v>
      </c>
      <c r="C160" s="8" t="s">
        <v>52</v>
      </c>
      <c r="D160" s="8" t="s">
        <v>40</v>
      </c>
      <c r="E160" s="8" t="s">
        <v>42</v>
      </c>
      <c r="F160" s="8" t="s">
        <v>33</v>
      </c>
      <c r="G160" s="9">
        <v>3924</v>
      </c>
      <c r="H160" s="11">
        <v>28.69</v>
      </c>
      <c r="I160" s="11">
        <v>21.47</v>
      </c>
      <c r="J160" s="12">
        <v>7.4</v>
      </c>
      <c r="K160" s="15">
        <f t="shared" si="2"/>
        <v>7.2200000000000024</v>
      </c>
    </row>
    <row r="161" spans="1:11" ht="15.75" customHeight="1" x14ac:dyDescent="0.3">
      <c r="A161" s="8">
        <v>1160</v>
      </c>
      <c r="B161" s="8" t="s">
        <v>64</v>
      </c>
      <c r="C161" s="8" t="s">
        <v>52</v>
      </c>
      <c r="D161" s="8" t="s">
        <v>40</v>
      </c>
      <c r="E161" s="8" t="s">
        <v>46</v>
      </c>
      <c r="F161" s="8" t="s">
        <v>33</v>
      </c>
      <c r="G161" s="9">
        <v>3134</v>
      </c>
      <c r="H161" s="11">
        <v>13.6</v>
      </c>
      <c r="I161" s="11">
        <v>10.69</v>
      </c>
      <c r="J161" s="12">
        <v>8.4</v>
      </c>
      <c r="K161" s="15">
        <f t="shared" si="2"/>
        <v>2.91</v>
      </c>
    </row>
    <row r="162" spans="1:11" ht="15.75" customHeight="1" x14ac:dyDescent="0.3">
      <c r="A162" s="8">
        <v>1161</v>
      </c>
      <c r="B162" s="8" t="s">
        <v>64</v>
      </c>
      <c r="C162" s="8" t="s">
        <v>52</v>
      </c>
      <c r="D162" s="8" t="s">
        <v>49</v>
      </c>
      <c r="E162" s="8" t="s">
        <v>51</v>
      </c>
      <c r="F162" s="8" t="s">
        <v>57</v>
      </c>
      <c r="G162" s="9">
        <v>6624</v>
      </c>
      <c r="H162" s="11">
        <v>4.18</v>
      </c>
      <c r="I162" s="11">
        <v>3.23</v>
      </c>
      <c r="J162" s="12">
        <v>8.8000000000000007</v>
      </c>
      <c r="K162" s="15">
        <f t="shared" si="2"/>
        <v>0.94999999999999973</v>
      </c>
    </row>
    <row r="163" spans="1:11" ht="15.75" customHeight="1" x14ac:dyDescent="0.3">
      <c r="A163" s="8">
        <v>1162</v>
      </c>
      <c r="B163" s="8" t="s">
        <v>64</v>
      </c>
      <c r="C163" s="8" t="s">
        <v>52</v>
      </c>
      <c r="D163" s="8" t="s">
        <v>49</v>
      </c>
      <c r="E163" s="8" t="s">
        <v>50</v>
      </c>
      <c r="F163" s="8" t="s">
        <v>57</v>
      </c>
      <c r="G163" s="9">
        <v>4975</v>
      </c>
      <c r="H163" s="11">
        <v>7.8</v>
      </c>
      <c r="I163" s="11">
        <v>4.58</v>
      </c>
      <c r="J163" s="12">
        <v>7.2</v>
      </c>
      <c r="K163" s="15">
        <f t="shared" si="2"/>
        <v>3.2199999999999998</v>
      </c>
    </row>
    <row r="164" spans="1:11" ht="15.75" customHeight="1" x14ac:dyDescent="0.3">
      <c r="A164" s="8">
        <v>1163</v>
      </c>
      <c r="B164" s="8" t="s">
        <v>64</v>
      </c>
      <c r="C164" s="8" t="s">
        <v>55</v>
      </c>
      <c r="D164" s="8" t="s">
        <v>30</v>
      </c>
      <c r="E164" s="8" t="s">
        <v>32</v>
      </c>
      <c r="F164" s="8" t="s">
        <v>33</v>
      </c>
      <c r="G164" s="9">
        <v>6856</v>
      </c>
      <c r="H164" s="11">
        <v>29.28</v>
      </c>
      <c r="I164" s="11">
        <v>21.18</v>
      </c>
      <c r="J164" s="12">
        <v>6.7</v>
      </c>
      <c r="K164" s="15">
        <f t="shared" si="2"/>
        <v>8.1000000000000014</v>
      </c>
    </row>
    <row r="165" spans="1:11" ht="15.75" customHeight="1" x14ac:dyDescent="0.3">
      <c r="A165" s="8">
        <v>1164</v>
      </c>
      <c r="B165" s="8" t="s">
        <v>64</v>
      </c>
      <c r="C165" s="8" t="s">
        <v>55</v>
      </c>
      <c r="D165" s="8" t="s">
        <v>30</v>
      </c>
      <c r="E165" s="8" t="s">
        <v>56</v>
      </c>
      <c r="F165" s="8" t="s">
        <v>43</v>
      </c>
      <c r="G165" s="9">
        <v>2310</v>
      </c>
      <c r="H165" s="11">
        <v>6.01</v>
      </c>
      <c r="I165" s="11">
        <v>3.97</v>
      </c>
      <c r="J165" s="12">
        <v>8.6999999999999993</v>
      </c>
      <c r="K165" s="15">
        <f t="shared" si="2"/>
        <v>2.0399999999999996</v>
      </c>
    </row>
    <row r="166" spans="1:11" ht="15.75" customHeight="1" x14ac:dyDescent="0.3">
      <c r="A166" s="8">
        <v>1165</v>
      </c>
      <c r="B166" s="8" t="s">
        <v>64</v>
      </c>
      <c r="C166" s="8" t="s">
        <v>55</v>
      </c>
      <c r="D166" s="8" t="s">
        <v>40</v>
      </c>
      <c r="E166" s="8" t="s">
        <v>42</v>
      </c>
      <c r="F166" s="8" t="s">
        <v>43</v>
      </c>
      <c r="G166" s="9">
        <v>6103</v>
      </c>
      <c r="H166" s="11">
        <v>51.11</v>
      </c>
      <c r="I166" s="11">
        <v>34.96</v>
      </c>
      <c r="J166" s="12">
        <v>8.1999999999999993</v>
      </c>
      <c r="K166" s="15">
        <f t="shared" si="2"/>
        <v>16.149999999999999</v>
      </c>
    </row>
    <row r="167" spans="1:11" ht="15.75" customHeight="1" x14ac:dyDescent="0.3">
      <c r="A167" s="8">
        <v>1166</v>
      </c>
      <c r="B167" s="8" t="s">
        <v>64</v>
      </c>
      <c r="C167" s="8" t="s">
        <v>55</v>
      </c>
      <c r="D167" s="8" t="s">
        <v>40</v>
      </c>
      <c r="E167" s="8" t="s">
        <v>46</v>
      </c>
      <c r="F167" s="8" t="s">
        <v>33</v>
      </c>
      <c r="G167" s="9">
        <v>4660</v>
      </c>
      <c r="H167" s="11">
        <v>30.44</v>
      </c>
      <c r="I167" s="11">
        <v>15.48</v>
      </c>
      <c r="J167" s="12">
        <v>7</v>
      </c>
      <c r="K167" s="15">
        <f t="shared" si="2"/>
        <v>14.96</v>
      </c>
    </row>
    <row r="168" spans="1:11" ht="15.75" customHeight="1" x14ac:dyDescent="0.3">
      <c r="A168" s="8">
        <v>1167</v>
      </c>
      <c r="B168" s="8" t="s">
        <v>64</v>
      </c>
      <c r="C168" s="8" t="s">
        <v>55</v>
      </c>
      <c r="D168" s="8" t="s">
        <v>49</v>
      </c>
      <c r="E168" s="8" t="s">
        <v>51</v>
      </c>
      <c r="F168" s="8" t="s">
        <v>43</v>
      </c>
      <c r="G168" s="9">
        <v>977</v>
      </c>
      <c r="H168" s="11">
        <v>2.2200000000000002</v>
      </c>
      <c r="I168" s="11">
        <v>1.49</v>
      </c>
      <c r="J168" s="12">
        <v>6.5</v>
      </c>
      <c r="K168" s="15">
        <f t="shared" si="2"/>
        <v>0.7300000000000002</v>
      </c>
    </row>
    <row r="169" spans="1:11" ht="15.75" customHeight="1" x14ac:dyDescent="0.3">
      <c r="A169" s="8">
        <v>1168</v>
      </c>
      <c r="B169" s="8" t="s">
        <v>64</v>
      </c>
      <c r="C169" s="8" t="s">
        <v>55</v>
      </c>
      <c r="D169" s="8" t="s">
        <v>49</v>
      </c>
      <c r="E169" s="8" t="s">
        <v>54</v>
      </c>
      <c r="F169" s="8" t="s">
        <v>57</v>
      </c>
      <c r="G169" s="9">
        <v>1500</v>
      </c>
      <c r="H169" s="11">
        <v>2.2799999999999998</v>
      </c>
      <c r="I169" s="11">
        <v>1.56</v>
      </c>
      <c r="J169" s="12">
        <v>6.6</v>
      </c>
      <c r="K169" s="15">
        <f t="shared" si="2"/>
        <v>0.71999999999999975</v>
      </c>
    </row>
    <row r="170" spans="1:11" ht="15.75" customHeight="1" x14ac:dyDescent="0.3">
      <c r="A170" s="8">
        <v>1169</v>
      </c>
      <c r="B170" s="8" t="s">
        <v>64</v>
      </c>
      <c r="C170" s="8" t="s">
        <v>58</v>
      </c>
      <c r="D170" s="8" t="s">
        <v>30</v>
      </c>
      <c r="E170" s="8" t="s">
        <v>56</v>
      </c>
      <c r="F170" s="8" t="s">
        <v>33</v>
      </c>
      <c r="G170" s="9">
        <v>4119</v>
      </c>
      <c r="H170" s="11">
        <v>11.35</v>
      </c>
      <c r="I170" s="11">
        <v>6.41</v>
      </c>
      <c r="J170" s="12">
        <v>6.3</v>
      </c>
      <c r="K170" s="15">
        <f t="shared" si="2"/>
        <v>4.9399999999999995</v>
      </c>
    </row>
    <row r="171" spans="1:11" ht="15.75" customHeight="1" x14ac:dyDescent="0.3">
      <c r="A171" s="8">
        <v>1170</v>
      </c>
      <c r="B171" s="8" t="s">
        <v>64</v>
      </c>
      <c r="C171" s="8" t="s">
        <v>58</v>
      </c>
      <c r="D171" s="8" t="s">
        <v>30</v>
      </c>
      <c r="E171" s="8" t="s">
        <v>32</v>
      </c>
      <c r="F171" s="8" t="s">
        <v>43</v>
      </c>
      <c r="G171" s="9">
        <v>3239</v>
      </c>
      <c r="H171" s="11">
        <v>12.62</v>
      </c>
      <c r="I171" s="11">
        <v>7.98</v>
      </c>
      <c r="J171" s="12">
        <v>8.6</v>
      </c>
      <c r="K171" s="15">
        <f t="shared" si="2"/>
        <v>4.6399999999999988</v>
      </c>
    </row>
    <row r="172" spans="1:11" ht="15.75" customHeight="1" x14ac:dyDescent="0.3">
      <c r="A172" s="8">
        <v>1171</v>
      </c>
      <c r="B172" s="8" t="s">
        <v>64</v>
      </c>
      <c r="C172" s="8" t="s">
        <v>58</v>
      </c>
      <c r="D172" s="8" t="s">
        <v>40</v>
      </c>
      <c r="E172" s="8" t="s">
        <v>46</v>
      </c>
      <c r="F172" s="8" t="s">
        <v>43</v>
      </c>
      <c r="G172" s="9">
        <v>1051</v>
      </c>
      <c r="H172" s="11">
        <v>6.84</v>
      </c>
      <c r="I172" s="11">
        <v>4.5</v>
      </c>
      <c r="J172" s="12">
        <v>7.1</v>
      </c>
      <c r="K172" s="15">
        <f t="shared" si="2"/>
        <v>2.34</v>
      </c>
    </row>
    <row r="173" spans="1:11" ht="15.75" customHeight="1" x14ac:dyDescent="0.3">
      <c r="A173" s="8">
        <v>1172</v>
      </c>
      <c r="B173" s="8" t="s">
        <v>64</v>
      </c>
      <c r="C173" s="8" t="s">
        <v>58</v>
      </c>
      <c r="D173" s="8" t="s">
        <v>40</v>
      </c>
      <c r="E173" s="8" t="s">
        <v>53</v>
      </c>
      <c r="F173" s="8" t="s">
        <v>33</v>
      </c>
      <c r="G173" s="9">
        <v>2180</v>
      </c>
      <c r="H173" s="11">
        <v>11.79</v>
      </c>
      <c r="I173" s="11">
        <v>6.96</v>
      </c>
      <c r="J173" s="12">
        <v>6.7</v>
      </c>
      <c r="K173" s="15">
        <f t="shared" si="2"/>
        <v>4.8299999999999992</v>
      </c>
    </row>
    <row r="174" spans="1:11" ht="15.75" customHeight="1" x14ac:dyDescent="0.3">
      <c r="A174" s="8">
        <v>1173</v>
      </c>
      <c r="B174" s="8" t="s">
        <v>64</v>
      </c>
      <c r="C174" s="8" t="s">
        <v>58</v>
      </c>
      <c r="D174" s="8" t="s">
        <v>49</v>
      </c>
      <c r="E174" s="8" t="s">
        <v>50</v>
      </c>
      <c r="F174" s="8" t="s">
        <v>43</v>
      </c>
      <c r="G174" s="9">
        <v>1914</v>
      </c>
      <c r="H174" s="11">
        <v>1.04</v>
      </c>
      <c r="I174" s="11">
        <v>0.63</v>
      </c>
      <c r="J174" s="12">
        <v>7.3</v>
      </c>
      <c r="K174" s="15">
        <f t="shared" si="2"/>
        <v>0.41000000000000003</v>
      </c>
    </row>
    <row r="175" spans="1:11" ht="15.75" customHeight="1" x14ac:dyDescent="0.3">
      <c r="A175" s="8">
        <v>1174</v>
      </c>
      <c r="B175" s="8" t="s">
        <v>64</v>
      </c>
      <c r="C175" s="8" t="s">
        <v>58</v>
      </c>
      <c r="D175" s="8" t="s">
        <v>49</v>
      </c>
      <c r="E175" s="8" t="s">
        <v>51</v>
      </c>
      <c r="F175" s="8" t="s">
        <v>57</v>
      </c>
      <c r="G175" s="9">
        <v>2597</v>
      </c>
      <c r="H175" s="11">
        <v>5.97</v>
      </c>
      <c r="I175" s="11">
        <v>3.41</v>
      </c>
      <c r="J175" s="12">
        <v>9</v>
      </c>
      <c r="K175" s="15">
        <f t="shared" si="2"/>
        <v>2.5599999999999996</v>
      </c>
    </row>
    <row r="176" spans="1:11" ht="15.75" customHeight="1" x14ac:dyDescent="0.3">
      <c r="A176" s="8">
        <v>1175</v>
      </c>
      <c r="B176" s="8" t="s">
        <v>64</v>
      </c>
      <c r="C176" s="8" t="s">
        <v>59</v>
      </c>
      <c r="D176" s="8" t="s">
        <v>30</v>
      </c>
      <c r="E176" s="8" t="s">
        <v>37</v>
      </c>
      <c r="F176" s="8" t="s">
        <v>33</v>
      </c>
      <c r="G176" s="9">
        <v>2062</v>
      </c>
      <c r="H176" s="11">
        <v>4.59</v>
      </c>
      <c r="I176" s="11">
        <v>3.12</v>
      </c>
      <c r="J176" s="12">
        <v>7</v>
      </c>
      <c r="K176" s="15">
        <f t="shared" si="2"/>
        <v>1.4699999999999998</v>
      </c>
    </row>
    <row r="177" spans="1:11" ht="15.75" customHeight="1" x14ac:dyDescent="0.3">
      <c r="A177" s="8">
        <v>1176</v>
      </c>
      <c r="B177" s="8" t="s">
        <v>64</v>
      </c>
      <c r="C177" s="8" t="s">
        <v>59</v>
      </c>
      <c r="D177" s="8" t="s">
        <v>30</v>
      </c>
      <c r="E177" s="8" t="s">
        <v>56</v>
      </c>
      <c r="F177" s="8" t="s">
        <v>43</v>
      </c>
      <c r="G177" s="9">
        <v>1489</v>
      </c>
      <c r="H177" s="11">
        <v>5.89</v>
      </c>
      <c r="I177" s="11">
        <v>3.54</v>
      </c>
      <c r="J177" s="12">
        <v>8.9</v>
      </c>
      <c r="K177" s="15">
        <f t="shared" si="2"/>
        <v>2.3499999999999996</v>
      </c>
    </row>
    <row r="178" spans="1:11" ht="15.75" customHeight="1" x14ac:dyDescent="0.3">
      <c r="A178" s="8">
        <v>1177</v>
      </c>
      <c r="B178" s="8" t="s">
        <v>64</v>
      </c>
      <c r="C178" s="8" t="s">
        <v>59</v>
      </c>
      <c r="D178" s="8" t="s">
        <v>40</v>
      </c>
      <c r="E178" s="8" t="s">
        <v>53</v>
      </c>
      <c r="F178" s="8" t="s">
        <v>33</v>
      </c>
      <c r="G178" s="9">
        <v>1984</v>
      </c>
      <c r="H178" s="11">
        <v>6.91</v>
      </c>
      <c r="I178" s="11">
        <v>4.29</v>
      </c>
      <c r="J178" s="12">
        <v>5.9</v>
      </c>
      <c r="K178" s="15">
        <f t="shared" si="2"/>
        <v>2.62</v>
      </c>
    </row>
    <row r="179" spans="1:11" ht="15.75" customHeight="1" x14ac:dyDescent="0.3">
      <c r="A179" s="8">
        <v>1178</v>
      </c>
      <c r="B179" s="8" t="s">
        <v>64</v>
      </c>
      <c r="C179" s="8" t="s">
        <v>59</v>
      </c>
      <c r="D179" s="8" t="s">
        <v>40</v>
      </c>
      <c r="E179" s="8" t="s">
        <v>42</v>
      </c>
      <c r="F179" s="8" t="s">
        <v>43</v>
      </c>
      <c r="G179" s="9">
        <v>3023</v>
      </c>
      <c r="H179" s="11">
        <v>13.11</v>
      </c>
      <c r="I179" s="11">
        <v>6.86</v>
      </c>
      <c r="J179" s="12">
        <v>7.8</v>
      </c>
      <c r="K179" s="15">
        <f t="shared" si="2"/>
        <v>6.2499999999999991</v>
      </c>
    </row>
    <row r="180" spans="1:11" ht="15.75" customHeight="1" x14ac:dyDescent="0.3">
      <c r="A180" s="8">
        <v>1179</v>
      </c>
      <c r="B180" s="8" t="s">
        <v>64</v>
      </c>
      <c r="C180" s="8" t="s">
        <v>59</v>
      </c>
      <c r="D180" s="8" t="s">
        <v>49</v>
      </c>
      <c r="E180" s="8" t="s">
        <v>54</v>
      </c>
      <c r="F180" s="8" t="s">
        <v>43</v>
      </c>
      <c r="G180" s="9">
        <v>1696</v>
      </c>
      <c r="H180" s="11">
        <v>4.22</v>
      </c>
      <c r="I180" s="11">
        <v>2.5099999999999998</v>
      </c>
      <c r="J180" s="12">
        <v>6</v>
      </c>
      <c r="K180" s="15">
        <f t="shared" si="2"/>
        <v>1.71</v>
      </c>
    </row>
    <row r="181" spans="1:11" ht="15.75" customHeight="1" x14ac:dyDescent="0.3">
      <c r="A181" s="8">
        <v>1180</v>
      </c>
      <c r="B181" s="8" t="s">
        <v>64</v>
      </c>
      <c r="C181" s="8" t="s">
        <v>59</v>
      </c>
      <c r="D181" s="8" t="s">
        <v>49</v>
      </c>
      <c r="E181" s="8" t="s">
        <v>50</v>
      </c>
      <c r="F181" s="8" t="s">
        <v>43</v>
      </c>
      <c r="G181" s="9">
        <v>1179</v>
      </c>
      <c r="H181" s="11">
        <v>2.11</v>
      </c>
      <c r="I181" s="11">
        <v>1.58</v>
      </c>
      <c r="J181" s="12">
        <v>6.2</v>
      </c>
      <c r="K181" s="15">
        <f t="shared" si="2"/>
        <v>0.5299999999999998</v>
      </c>
    </row>
    <row r="182" spans="1:11" ht="15.75" customHeight="1" x14ac:dyDescent="0.3">
      <c r="A182" s="8">
        <v>1181</v>
      </c>
      <c r="B182" s="8" t="s">
        <v>65</v>
      </c>
      <c r="C182" s="8" t="s">
        <v>29</v>
      </c>
      <c r="D182" s="8" t="s">
        <v>30</v>
      </c>
      <c r="E182" s="8" t="s">
        <v>32</v>
      </c>
      <c r="F182" s="8" t="s">
        <v>43</v>
      </c>
      <c r="G182" s="9">
        <v>7715</v>
      </c>
      <c r="H182" s="11">
        <v>38.479999999999997</v>
      </c>
      <c r="I182" s="11">
        <v>31.83</v>
      </c>
      <c r="J182" s="12">
        <v>8</v>
      </c>
      <c r="K182" s="15">
        <f t="shared" si="2"/>
        <v>6.6499999999999986</v>
      </c>
    </row>
    <row r="183" spans="1:11" ht="15.75" customHeight="1" x14ac:dyDescent="0.3">
      <c r="A183" s="8">
        <v>1182</v>
      </c>
      <c r="B183" s="8" t="s">
        <v>65</v>
      </c>
      <c r="C183" s="8" t="s">
        <v>29</v>
      </c>
      <c r="D183" s="8" t="s">
        <v>30</v>
      </c>
      <c r="E183" s="8" t="s">
        <v>56</v>
      </c>
      <c r="F183" s="8" t="s">
        <v>43</v>
      </c>
      <c r="G183" s="9">
        <v>8647</v>
      </c>
      <c r="H183" s="11">
        <v>36.270000000000003</v>
      </c>
      <c r="I183" s="11">
        <v>20.69</v>
      </c>
      <c r="J183" s="12">
        <v>7.5</v>
      </c>
      <c r="K183" s="15">
        <f t="shared" si="2"/>
        <v>15.580000000000002</v>
      </c>
    </row>
    <row r="184" spans="1:11" ht="15.75" customHeight="1" x14ac:dyDescent="0.3">
      <c r="A184" s="8">
        <v>1183</v>
      </c>
      <c r="B184" s="8" t="s">
        <v>65</v>
      </c>
      <c r="C184" s="8" t="s">
        <v>29</v>
      </c>
      <c r="D184" s="8" t="s">
        <v>40</v>
      </c>
      <c r="E184" s="8" t="s">
        <v>53</v>
      </c>
      <c r="F184" s="8" t="s">
        <v>33</v>
      </c>
      <c r="G184" s="9">
        <v>4296</v>
      </c>
      <c r="H184" s="11">
        <v>14.37</v>
      </c>
      <c r="I184" s="11">
        <v>7.35</v>
      </c>
      <c r="J184" s="12">
        <v>7.3</v>
      </c>
      <c r="K184" s="15">
        <f t="shared" si="2"/>
        <v>7.02</v>
      </c>
    </row>
    <row r="185" spans="1:11" ht="15.75" customHeight="1" x14ac:dyDescent="0.3">
      <c r="A185" s="8">
        <v>1184</v>
      </c>
      <c r="B185" s="8" t="s">
        <v>65</v>
      </c>
      <c r="C185" s="8" t="s">
        <v>29</v>
      </c>
      <c r="D185" s="8" t="s">
        <v>40</v>
      </c>
      <c r="E185" s="8" t="s">
        <v>42</v>
      </c>
      <c r="F185" s="8" t="s">
        <v>43</v>
      </c>
      <c r="G185" s="9">
        <v>1958</v>
      </c>
      <c r="H185" s="11">
        <v>15.35</v>
      </c>
      <c r="I185" s="11">
        <v>10.51</v>
      </c>
      <c r="J185" s="12">
        <v>7.8</v>
      </c>
      <c r="K185" s="15">
        <f t="shared" si="2"/>
        <v>4.84</v>
      </c>
    </row>
    <row r="186" spans="1:11" ht="15.75" customHeight="1" x14ac:dyDescent="0.3">
      <c r="A186" s="8">
        <v>1185</v>
      </c>
      <c r="B186" s="8" t="s">
        <v>65</v>
      </c>
      <c r="C186" s="8" t="s">
        <v>29</v>
      </c>
      <c r="D186" s="8" t="s">
        <v>49</v>
      </c>
      <c r="E186" s="8" t="s">
        <v>51</v>
      </c>
      <c r="F186" s="8" t="s">
        <v>43</v>
      </c>
      <c r="G186" s="9">
        <v>9028</v>
      </c>
      <c r="H186" s="11">
        <v>13.91</v>
      </c>
      <c r="I186" s="11">
        <v>10.18</v>
      </c>
      <c r="J186" s="12">
        <v>7.8</v>
      </c>
      <c r="K186" s="15">
        <f t="shared" si="2"/>
        <v>3.7300000000000004</v>
      </c>
    </row>
    <row r="187" spans="1:11" ht="15.75" customHeight="1" x14ac:dyDescent="0.3">
      <c r="A187" s="8">
        <v>1186</v>
      </c>
      <c r="B187" s="8" t="s">
        <v>65</v>
      </c>
      <c r="C187" s="8" t="s">
        <v>29</v>
      </c>
      <c r="D187" s="8" t="s">
        <v>49</v>
      </c>
      <c r="E187" s="8" t="s">
        <v>50</v>
      </c>
      <c r="F187" s="8" t="s">
        <v>57</v>
      </c>
      <c r="G187" s="9">
        <v>5133</v>
      </c>
      <c r="H187" s="11">
        <v>11.63</v>
      </c>
      <c r="I187" s="11">
        <v>9.82</v>
      </c>
      <c r="J187" s="12">
        <v>6.3</v>
      </c>
      <c r="K187" s="15">
        <f t="shared" si="2"/>
        <v>1.8100000000000005</v>
      </c>
    </row>
    <row r="188" spans="1:11" ht="15.75" customHeight="1" x14ac:dyDescent="0.3">
      <c r="A188" s="8">
        <v>1187</v>
      </c>
      <c r="B188" s="8" t="s">
        <v>65</v>
      </c>
      <c r="C188" s="8" t="s">
        <v>52</v>
      </c>
      <c r="D188" s="8" t="s">
        <v>30</v>
      </c>
      <c r="E188" s="8" t="s">
        <v>32</v>
      </c>
      <c r="F188" s="8" t="s">
        <v>33</v>
      </c>
      <c r="G188" s="9">
        <v>2779</v>
      </c>
      <c r="H188" s="11">
        <v>10.3</v>
      </c>
      <c r="I188" s="11">
        <v>7.28</v>
      </c>
      <c r="J188" s="12">
        <v>6.6</v>
      </c>
      <c r="K188" s="15">
        <f t="shared" si="2"/>
        <v>3.0200000000000005</v>
      </c>
    </row>
    <row r="189" spans="1:11" ht="15.75" customHeight="1" x14ac:dyDescent="0.3">
      <c r="A189" s="8">
        <v>1188</v>
      </c>
      <c r="B189" s="8" t="s">
        <v>65</v>
      </c>
      <c r="C189" s="8" t="s">
        <v>52</v>
      </c>
      <c r="D189" s="8" t="s">
        <v>30</v>
      </c>
      <c r="E189" s="8" t="s">
        <v>37</v>
      </c>
      <c r="F189" s="8" t="s">
        <v>43</v>
      </c>
      <c r="G189" s="9">
        <v>7418</v>
      </c>
      <c r="H189" s="11">
        <v>27.78</v>
      </c>
      <c r="I189" s="11">
        <v>20.94</v>
      </c>
      <c r="J189" s="12">
        <v>6.2</v>
      </c>
      <c r="K189" s="15">
        <f t="shared" si="2"/>
        <v>6.84</v>
      </c>
    </row>
    <row r="190" spans="1:11" ht="15.75" customHeight="1" x14ac:dyDescent="0.3">
      <c r="A190" s="8">
        <v>1189</v>
      </c>
      <c r="B190" s="8" t="s">
        <v>65</v>
      </c>
      <c r="C190" s="8" t="s">
        <v>52</v>
      </c>
      <c r="D190" s="8" t="s">
        <v>40</v>
      </c>
      <c r="E190" s="8" t="s">
        <v>42</v>
      </c>
      <c r="F190" s="8" t="s">
        <v>33</v>
      </c>
      <c r="G190" s="9">
        <v>3346</v>
      </c>
      <c r="H190" s="11">
        <v>18.93</v>
      </c>
      <c r="I190" s="11">
        <v>10.9</v>
      </c>
      <c r="J190" s="12">
        <v>9</v>
      </c>
      <c r="K190" s="15">
        <f t="shared" si="2"/>
        <v>8.0299999999999994</v>
      </c>
    </row>
    <row r="191" spans="1:11" ht="15.75" customHeight="1" x14ac:dyDescent="0.3">
      <c r="A191" s="8">
        <v>1190</v>
      </c>
      <c r="B191" s="8" t="s">
        <v>65</v>
      </c>
      <c r="C191" s="8" t="s">
        <v>52</v>
      </c>
      <c r="D191" s="8" t="s">
        <v>40</v>
      </c>
      <c r="E191" s="8" t="s">
        <v>53</v>
      </c>
      <c r="F191" s="8" t="s">
        <v>33</v>
      </c>
      <c r="G191" s="9">
        <v>3372</v>
      </c>
      <c r="H191" s="11">
        <v>18.510000000000002</v>
      </c>
      <c r="I191" s="11">
        <v>11.2</v>
      </c>
      <c r="J191" s="12">
        <v>9.4</v>
      </c>
      <c r="K191" s="15">
        <f t="shared" si="2"/>
        <v>7.3100000000000023</v>
      </c>
    </row>
    <row r="192" spans="1:11" ht="15.75" customHeight="1" x14ac:dyDescent="0.3">
      <c r="A192" s="8">
        <v>1191</v>
      </c>
      <c r="B192" s="8" t="s">
        <v>65</v>
      </c>
      <c r="C192" s="8" t="s">
        <v>52</v>
      </c>
      <c r="D192" s="8" t="s">
        <v>49</v>
      </c>
      <c r="E192" s="8" t="s">
        <v>54</v>
      </c>
      <c r="F192" s="8" t="s">
        <v>57</v>
      </c>
      <c r="G192" s="9">
        <v>5183</v>
      </c>
      <c r="H192" s="11">
        <v>11.85</v>
      </c>
      <c r="I192" s="11">
        <v>7.86</v>
      </c>
      <c r="J192" s="12">
        <v>8.8000000000000007</v>
      </c>
      <c r="K192" s="15">
        <f t="shared" si="2"/>
        <v>3.9899999999999993</v>
      </c>
    </row>
    <row r="193" spans="1:11" ht="15.75" customHeight="1" x14ac:dyDescent="0.3">
      <c r="A193" s="8">
        <v>1192</v>
      </c>
      <c r="B193" s="8" t="s">
        <v>65</v>
      </c>
      <c r="C193" s="8" t="s">
        <v>52</v>
      </c>
      <c r="D193" s="8" t="s">
        <v>49</v>
      </c>
      <c r="E193" s="8" t="s">
        <v>51</v>
      </c>
      <c r="F193" s="8" t="s">
        <v>57</v>
      </c>
      <c r="G193" s="9">
        <v>5702</v>
      </c>
      <c r="H193" s="11">
        <v>12.89</v>
      </c>
      <c r="I193" s="11">
        <v>9.74</v>
      </c>
      <c r="J193" s="12">
        <v>7.8</v>
      </c>
      <c r="K193" s="15">
        <f t="shared" si="2"/>
        <v>3.1500000000000004</v>
      </c>
    </row>
    <row r="194" spans="1:11" ht="15.75" customHeight="1" x14ac:dyDescent="0.3">
      <c r="A194" s="8">
        <v>1193</v>
      </c>
      <c r="B194" s="8" t="s">
        <v>65</v>
      </c>
      <c r="C194" s="8" t="s">
        <v>55</v>
      </c>
      <c r="D194" s="8" t="s">
        <v>30</v>
      </c>
      <c r="E194" s="8" t="s">
        <v>32</v>
      </c>
      <c r="F194" s="8" t="s">
        <v>43</v>
      </c>
      <c r="G194" s="9">
        <v>1082</v>
      </c>
      <c r="H194" s="11">
        <v>3.82</v>
      </c>
      <c r="I194" s="11">
        <v>2.4900000000000002</v>
      </c>
      <c r="J194" s="12">
        <v>8.6999999999999993</v>
      </c>
      <c r="K194" s="15">
        <f t="shared" ref="K194:K240" si="3">H194-I194</f>
        <v>1.3299999999999996</v>
      </c>
    </row>
    <row r="195" spans="1:11" ht="15.75" customHeight="1" x14ac:dyDescent="0.3">
      <c r="A195" s="8">
        <v>1194</v>
      </c>
      <c r="B195" s="8" t="s">
        <v>65</v>
      </c>
      <c r="C195" s="8" t="s">
        <v>55</v>
      </c>
      <c r="D195" s="8" t="s">
        <v>30</v>
      </c>
      <c r="E195" s="8" t="s">
        <v>56</v>
      </c>
      <c r="F195" s="8" t="s">
        <v>33</v>
      </c>
      <c r="G195" s="9">
        <v>2393</v>
      </c>
      <c r="H195" s="11">
        <v>5.59</v>
      </c>
      <c r="I195" s="11">
        <v>4.49</v>
      </c>
      <c r="J195" s="12">
        <v>6.4</v>
      </c>
      <c r="K195" s="15">
        <f t="shared" si="3"/>
        <v>1.0999999999999996</v>
      </c>
    </row>
    <row r="196" spans="1:11" ht="15.75" customHeight="1" x14ac:dyDescent="0.3">
      <c r="A196" s="8">
        <v>1195</v>
      </c>
      <c r="B196" s="8" t="s">
        <v>65</v>
      </c>
      <c r="C196" s="8" t="s">
        <v>55</v>
      </c>
      <c r="D196" s="8" t="s">
        <v>40</v>
      </c>
      <c r="E196" s="8" t="s">
        <v>42</v>
      </c>
      <c r="F196" s="8" t="s">
        <v>43</v>
      </c>
      <c r="G196" s="9">
        <v>6482</v>
      </c>
      <c r="H196" s="11">
        <v>40.24</v>
      </c>
      <c r="I196" s="11">
        <v>21.98</v>
      </c>
      <c r="J196" s="12">
        <v>6.6</v>
      </c>
      <c r="K196" s="15">
        <f t="shared" si="3"/>
        <v>18.260000000000002</v>
      </c>
    </row>
    <row r="197" spans="1:11" ht="15.75" customHeight="1" x14ac:dyDescent="0.3">
      <c r="A197" s="8">
        <v>1196</v>
      </c>
      <c r="B197" s="8" t="s">
        <v>65</v>
      </c>
      <c r="C197" s="8" t="s">
        <v>55</v>
      </c>
      <c r="D197" s="8" t="s">
        <v>40</v>
      </c>
      <c r="E197" s="8" t="s">
        <v>46</v>
      </c>
      <c r="F197" s="8" t="s">
        <v>33</v>
      </c>
      <c r="G197" s="9">
        <v>5505</v>
      </c>
      <c r="H197" s="11">
        <v>17.239999999999998</v>
      </c>
      <c r="I197" s="11">
        <v>12.34</v>
      </c>
      <c r="J197" s="12">
        <v>9.4</v>
      </c>
      <c r="K197" s="15">
        <f t="shared" si="3"/>
        <v>4.8999999999999986</v>
      </c>
    </row>
    <row r="198" spans="1:11" ht="15.75" customHeight="1" x14ac:dyDescent="0.3">
      <c r="A198" s="8">
        <v>1197</v>
      </c>
      <c r="B198" s="8" t="s">
        <v>65</v>
      </c>
      <c r="C198" s="8" t="s">
        <v>55</v>
      </c>
      <c r="D198" s="8" t="s">
        <v>49</v>
      </c>
      <c r="E198" s="8" t="s">
        <v>54</v>
      </c>
      <c r="F198" s="8" t="s">
        <v>43</v>
      </c>
      <c r="G198" s="9">
        <v>2440</v>
      </c>
      <c r="H198" s="11">
        <v>2.61</v>
      </c>
      <c r="I198" s="11">
        <v>2.0499999999999998</v>
      </c>
      <c r="J198" s="12">
        <v>9.1999999999999993</v>
      </c>
      <c r="K198" s="15">
        <f t="shared" si="3"/>
        <v>0.56000000000000005</v>
      </c>
    </row>
    <row r="199" spans="1:11" ht="15.75" customHeight="1" x14ac:dyDescent="0.3">
      <c r="A199" s="8">
        <v>1198</v>
      </c>
      <c r="B199" s="8" t="s">
        <v>65</v>
      </c>
      <c r="C199" s="8" t="s">
        <v>55</v>
      </c>
      <c r="D199" s="8" t="s">
        <v>49</v>
      </c>
      <c r="E199" s="8" t="s">
        <v>51</v>
      </c>
      <c r="F199" s="8" t="s">
        <v>57</v>
      </c>
      <c r="G199" s="9">
        <v>3282</v>
      </c>
      <c r="H199" s="11">
        <v>8.6199999999999992</v>
      </c>
      <c r="I199" s="11">
        <v>5.93</v>
      </c>
      <c r="J199" s="12">
        <v>7</v>
      </c>
      <c r="K199" s="15">
        <f t="shared" si="3"/>
        <v>2.6899999999999995</v>
      </c>
    </row>
    <row r="200" spans="1:11" ht="15.75" customHeight="1" x14ac:dyDescent="0.3">
      <c r="A200" s="8">
        <v>1199</v>
      </c>
      <c r="B200" s="8" t="s">
        <v>65</v>
      </c>
      <c r="C200" s="8" t="s">
        <v>58</v>
      </c>
      <c r="D200" s="8" t="s">
        <v>30</v>
      </c>
      <c r="E200" s="8" t="s">
        <v>56</v>
      </c>
      <c r="F200" s="8" t="s">
        <v>33</v>
      </c>
      <c r="G200" s="9">
        <v>3970</v>
      </c>
      <c r="H200" s="11">
        <v>19.170000000000002</v>
      </c>
      <c r="I200" s="11">
        <v>11.98</v>
      </c>
      <c r="J200" s="12">
        <v>8.1999999999999993</v>
      </c>
      <c r="K200" s="15">
        <f t="shared" si="3"/>
        <v>7.1900000000000013</v>
      </c>
    </row>
    <row r="201" spans="1:11" ht="15.75" customHeight="1" x14ac:dyDescent="0.3">
      <c r="A201" s="8">
        <v>1200</v>
      </c>
      <c r="B201" s="8" t="s">
        <v>65</v>
      </c>
      <c r="C201" s="8" t="s">
        <v>58</v>
      </c>
      <c r="D201" s="8" t="s">
        <v>30</v>
      </c>
      <c r="E201" s="8" t="s">
        <v>32</v>
      </c>
      <c r="F201" s="8" t="s">
        <v>43</v>
      </c>
      <c r="G201" s="9">
        <v>2897</v>
      </c>
      <c r="H201" s="11">
        <v>7.47</v>
      </c>
      <c r="I201" s="11">
        <v>6.02</v>
      </c>
      <c r="J201" s="12">
        <v>7</v>
      </c>
      <c r="K201" s="15">
        <f t="shared" si="3"/>
        <v>1.4500000000000002</v>
      </c>
    </row>
    <row r="202" spans="1:11" ht="15.75" customHeight="1" x14ac:dyDescent="0.3">
      <c r="A202" s="8">
        <v>1201</v>
      </c>
      <c r="B202" s="8" t="s">
        <v>65</v>
      </c>
      <c r="C202" s="8" t="s">
        <v>58</v>
      </c>
      <c r="D202" s="8" t="s">
        <v>40</v>
      </c>
      <c r="E202" s="8" t="s">
        <v>46</v>
      </c>
      <c r="F202" s="8" t="s">
        <v>43</v>
      </c>
      <c r="G202" s="9">
        <v>4331</v>
      </c>
      <c r="H202" s="11">
        <v>15.98</v>
      </c>
      <c r="I202" s="11">
        <v>12.53</v>
      </c>
      <c r="J202" s="12">
        <v>6.8</v>
      </c>
      <c r="K202" s="15">
        <f t="shared" si="3"/>
        <v>3.4500000000000011</v>
      </c>
    </row>
    <row r="203" spans="1:11" ht="15.75" customHeight="1" x14ac:dyDescent="0.3">
      <c r="A203" s="8">
        <v>1202</v>
      </c>
      <c r="B203" s="8" t="s">
        <v>65</v>
      </c>
      <c r="C203" s="8" t="s">
        <v>58</v>
      </c>
      <c r="D203" s="8" t="s">
        <v>40</v>
      </c>
      <c r="E203" s="8" t="s">
        <v>53</v>
      </c>
      <c r="F203" s="8" t="s">
        <v>43</v>
      </c>
      <c r="G203" s="9">
        <v>4247</v>
      </c>
      <c r="H203" s="11">
        <v>31.95</v>
      </c>
      <c r="I203" s="11">
        <v>19.78</v>
      </c>
      <c r="J203" s="12">
        <v>7.3</v>
      </c>
      <c r="K203" s="15">
        <f t="shared" si="3"/>
        <v>12.169999999999998</v>
      </c>
    </row>
    <row r="204" spans="1:11" ht="15.75" customHeight="1" x14ac:dyDescent="0.3">
      <c r="A204" s="8">
        <v>1203</v>
      </c>
      <c r="B204" s="8" t="s">
        <v>65</v>
      </c>
      <c r="C204" s="8" t="s">
        <v>58</v>
      </c>
      <c r="D204" s="8" t="s">
        <v>49</v>
      </c>
      <c r="E204" s="8" t="s">
        <v>51</v>
      </c>
      <c r="F204" s="8" t="s">
        <v>43</v>
      </c>
      <c r="G204" s="9">
        <v>1547</v>
      </c>
      <c r="H204" s="11">
        <v>1.62</v>
      </c>
      <c r="I204" s="11">
        <v>1.24</v>
      </c>
      <c r="J204" s="12">
        <v>7.2</v>
      </c>
      <c r="K204" s="15">
        <f t="shared" si="3"/>
        <v>0.38000000000000012</v>
      </c>
    </row>
    <row r="205" spans="1:11" ht="15.75" customHeight="1" x14ac:dyDescent="0.3">
      <c r="A205" s="8">
        <v>1204</v>
      </c>
      <c r="B205" s="8" t="s">
        <v>65</v>
      </c>
      <c r="C205" s="8" t="s">
        <v>58</v>
      </c>
      <c r="D205" s="8" t="s">
        <v>49</v>
      </c>
      <c r="E205" s="8" t="s">
        <v>50</v>
      </c>
      <c r="F205" s="8" t="s">
        <v>57</v>
      </c>
      <c r="G205" s="9">
        <v>1191</v>
      </c>
      <c r="H205" s="11">
        <v>1.36</v>
      </c>
      <c r="I205" s="11">
        <v>1.03</v>
      </c>
      <c r="J205" s="12">
        <v>6.5</v>
      </c>
      <c r="K205" s="15">
        <f t="shared" si="3"/>
        <v>0.33000000000000007</v>
      </c>
    </row>
    <row r="206" spans="1:11" ht="15.75" customHeight="1" x14ac:dyDescent="0.3">
      <c r="A206" s="8">
        <v>1205</v>
      </c>
      <c r="B206" s="8" t="s">
        <v>65</v>
      </c>
      <c r="C206" s="8" t="s">
        <v>59</v>
      </c>
      <c r="D206" s="8" t="s">
        <v>30</v>
      </c>
      <c r="E206" s="8" t="s">
        <v>32</v>
      </c>
      <c r="F206" s="8" t="s">
        <v>43</v>
      </c>
      <c r="G206" s="9">
        <v>2661</v>
      </c>
      <c r="H206" s="11">
        <v>13.52</v>
      </c>
      <c r="I206" s="11">
        <v>8.31</v>
      </c>
      <c r="J206" s="12">
        <v>6.1</v>
      </c>
      <c r="K206" s="15">
        <f t="shared" si="3"/>
        <v>5.2099999999999991</v>
      </c>
    </row>
    <row r="207" spans="1:11" ht="15.75" customHeight="1" x14ac:dyDescent="0.3">
      <c r="A207" s="8">
        <v>1206</v>
      </c>
      <c r="B207" s="8" t="s">
        <v>65</v>
      </c>
      <c r="C207" s="8" t="s">
        <v>59</v>
      </c>
      <c r="D207" s="8" t="s">
        <v>30</v>
      </c>
      <c r="E207" s="8" t="s">
        <v>56</v>
      </c>
      <c r="F207" s="8" t="s">
        <v>43</v>
      </c>
      <c r="G207" s="9">
        <v>917</v>
      </c>
      <c r="H207" s="11">
        <v>2.78</v>
      </c>
      <c r="I207" s="11">
        <v>1.57</v>
      </c>
      <c r="J207" s="12">
        <v>7.1</v>
      </c>
      <c r="K207" s="15">
        <f t="shared" si="3"/>
        <v>1.2099999999999997</v>
      </c>
    </row>
    <row r="208" spans="1:11" ht="15.75" customHeight="1" x14ac:dyDescent="0.3">
      <c r="A208" s="8">
        <v>1207</v>
      </c>
      <c r="B208" s="8" t="s">
        <v>65</v>
      </c>
      <c r="C208" s="8" t="s">
        <v>59</v>
      </c>
      <c r="D208" s="8" t="s">
        <v>40</v>
      </c>
      <c r="E208" s="8" t="s">
        <v>42</v>
      </c>
      <c r="F208" s="8" t="s">
        <v>33</v>
      </c>
      <c r="G208" s="9">
        <v>916</v>
      </c>
      <c r="H208" s="11">
        <v>7.03</v>
      </c>
      <c r="I208" s="11">
        <v>3.55</v>
      </c>
      <c r="J208" s="12">
        <v>7.4</v>
      </c>
      <c r="K208" s="15">
        <f t="shared" si="3"/>
        <v>3.4800000000000004</v>
      </c>
    </row>
    <row r="209" spans="1:11" ht="15.75" customHeight="1" x14ac:dyDescent="0.3">
      <c r="A209" s="8">
        <v>1208</v>
      </c>
      <c r="B209" s="8" t="s">
        <v>65</v>
      </c>
      <c r="C209" s="8" t="s">
        <v>59</v>
      </c>
      <c r="D209" s="8" t="s">
        <v>40</v>
      </c>
      <c r="E209" s="8" t="s">
        <v>53</v>
      </c>
      <c r="F209" s="8" t="s">
        <v>33</v>
      </c>
      <c r="G209" s="9">
        <v>3018</v>
      </c>
      <c r="H209" s="11">
        <v>12.11</v>
      </c>
      <c r="I209" s="11">
        <v>7.34</v>
      </c>
      <c r="J209" s="12">
        <v>7.6</v>
      </c>
      <c r="K209" s="15">
        <f t="shared" si="3"/>
        <v>4.7699999999999996</v>
      </c>
    </row>
    <row r="210" spans="1:11" ht="15.75" customHeight="1" x14ac:dyDescent="0.3">
      <c r="A210" s="8">
        <v>1209</v>
      </c>
      <c r="B210" s="8" t="s">
        <v>65</v>
      </c>
      <c r="C210" s="8" t="s">
        <v>59</v>
      </c>
      <c r="D210" s="8" t="s">
        <v>49</v>
      </c>
      <c r="E210" s="8" t="s">
        <v>50</v>
      </c>
      <c r="F210" s="8" t="s">
        <v>43</v>
      </c>
      <c r="G210" s="9">
        <v>766</v>
      </c>
      <c r="H210" s="11">
        <v>1.19</v>
      </c>
      <c r="I210" s="11">
        <v>1.01</v>
      </c>
      <c r="J210" s="12">
        <v>7.5</v>
      </c>
      <c r="K210" s="15">
        <f t="shared" si="3"/>
        <v>0.17999999999999994</v>
      </c>
    </row>
    <row r="211" spans="1:11" ht="15.75" customHeight="1" x14ac:dyDescent="0.3">
      <c r="A211" s="8">
        <v>1210</v>
      </c>
      <c r="B211" s="8" t="s">
        <v>65</v>
      </c>
      <c r="C211" s="8" t="s">
        <v>59</v>
      </c>
      <c r="D211" s="8" t="s">
        <v>49</v>
      </c>
      <c r="E211" s="8" t="s">
        <v>54</v>
      </c>
      <c r="F211" s="8" t="s">
        <v>43</v>
      </c>
      <c r="G211" s="9">
        <v>3554</v>
      </c>
      <c r="H211" s="11">
        <v>2.04</v>
      </c>
      <c r="I211" s="11">
        <v>1.35</v>
      </c>
      <c r="J211" s="12">
        <v>8.1999999999999993</v>
      </c>
      <c r="K211" s="15">
        <f t="shared" si="3"/>
        <v>0.69</v>
      </c>
    </row>
    <row r="212" spans="1:11" ht="15.75" customHeight="1" x14ac:dyDescent="0.3">
      <c r="A212" s="8">
        <v>1211</v>
      </c>
      <c r="B212" s="8" t="s">
        <v>66</v>
      </c>
      <c r="C212" s="8" t="s">
        <v>29</v>
      </c>
      <c r="D212" s="8" t="s">
        <v>30</v>
      </c>
      <c r="E212" s="8" t="s">
        <v>56</v>
      </c>
      <c r="F212" s="8" t="s">
        <v>43</v>
      </c>
      <c r="G212" s="9">
        <v>3452</v>
      </c>
      <c r="H212" s="11">
        <v>14.71</v>
      </c>
      <c r="I212" s="11">
        <v>10.66</v>
      </c>
      <c r="J212" s="12">
        <v>8.6</v>
      </c>
      <c r="K212" s="15">
        <f t="shared" si="3"/>
        <v>4.0500000000000007</v>
      </c>
    </row>
    <row r="213" spans="1:11" ht="15.75" customHeight="1" x14ac:dyDescent="0.3">
      <c r="A213" s="8">
        <v>1212</v>
      </c>
      <c r="B213" s="8" t="s">
        <v>66</v>
      </c>
      <c r="C213" s="8" t="s">
        <v>29</v>
      </c>
      <c r="D213" s="8" t="s">
        <v>30</v>
      </c>
      <c r="E213" s="8" t="s">
        <v>37</v>
      </c>
      <c r="F213" s="8" t="s">
        <v>33</v>
      </c>
      <c r="G213" s="9">
        <v>1732</v>
      </c>
      <c r="H213" s="11">
        <v>7.7</v>
      </c>
      <c r="I213" s="11">
        <v>4.6399999999999997</v>
      </c>
      <c r="J213" s="12">
        <v>8.6999999999999993</v>
      </c>
      <c r="K213" s="15">
        <f t="shared" si="3"/>
        <v>3.0600000000000005</v>
      </c>
    </row>
    <row r="214" spans="1:11" ht="15.75" customHeight="1" x14ac:dyDescent="0.3">
      <c r="A214" s="8">
        <v>1213</v>
      </c>
      <c r="B214" s="8" t="s">
        <v>66</v>
      </c>
      <c r="C214" s="8" t="s">
        <v>29</v>
      </c>
      <c r="D214" s="8" t="s">
        <v>40</v>
      </c>
      <c r="E214" s="8" t="s">
        <v>53</v>
      </c>
      <c r="F214" s="8" t="s">
        <v>33</v>
      </c>
      <c r="G214" s="9">
        <v>8437</v>
      </c>
      <c r="H214" s="11">
        <v>29.52</v>
      </c>
      <c r="I214" s="11">
        <v>18.809999999999999</v>
      </c>
      <c r="J214" s="12">
        <v>7</v>
      </c>
      <c r="K214" s="15">
        <f t="shared" si="3"/>
        <v>10.71</v>
      </c>
    </row>
    <row r="215" spans="1:11" ht="15.75" customHeight="1" x14ac:dyDescent="0.3">
      <c r="A215" s="8">
        <v>1214</v>
      </c>
      <c r="B215" s="8" t="s">
        <v>66</v>
      </c>
      <c r="C215" s="8" t="s">
        <v>29</v>
      </c>
      <c r="D215" s="8" t="s">
        <v>40</v>
      </c>
      <c r="E215" s="8" t="s">
        <v>42</v>
      </c>
      <c r="F215" s="8" t="s">
        <v>33</v>
      </c>
      <c r="G215" s="9">
        <v>8258</v>
      </c>
      <c r="H215" s="11">
        <v>59.09</v>
      </c>
      <c r="I215" s="11">
        <v>35.04</v>
      </c>
      <c r="J215" s="12">
        <v>7.4</v>
      </c>
      <c r="K215" s="15">
        <f t="shared" si="3"/>
        <v>24.050000000000004</v>
      </c>
    </row>
    <row r="216" spans="1:11" ht="15.75" customHeight="1" x14ac:dyDescent="0.3">
      <c r="A216" s="8">
        <v>1215</v>
      </c>
      <c r="B216" s="8" t="s">
        <v>66</v>
      </c>
      <c r="C216" s="8" t="s">
        <v>29</v>
      </c>
      <c r="D216" s="8" t="s">
        <v>49</v>
      </c>
      <c r="E216" s="8" t="s">
        <v>54</v>
      </c>
      <c r="F216" s="8" t="s">
        <v>43</v>
      </c>
      <c r="G216" s="9">
        <v>1664</v>
      </c>
      <c r="H216" s="11">
        <v>2.86</v>
      </c>
      <c r="I216" s="11">
        <v>2.31</v>
      </c>
      <c r="J216" s="12">
        <v>6.2</v>
      </c>
      <c r="K216" s="15">
        <f t="shared" si="3"/>
        <v>0.54999999999999982</v>
      </c>
    </row>
    <row r="217" spans="1:11" ht="15.75" customHeight="1" x14ac:dyDescent="0.3">
      <c r="A217" s="8">
        <v>1216</v>
      </c>
      <c r="B217" s="8" t="s">
        <v>66</v>
      </c>
      <c r="C217" s="8" t="s">
        <v>29</v>
      </c>
      <c r="D217" s="8" t="s">
        <v>49</v>
      </c>
      <c r="E217" s="8" t="s">
        <v>51</v>
      </c>
      <c r="F217" s="8" t="s">
        <v>43</v>
      </c>
      <c r="G217" s="9">
        <v>3732</v>
      </c>
      <c r="H217" s="11">
        <v>7.73</v>
      </c>
      <c r="I217" s="11">
        <v>5.18</v>
      </c>
      <c r="J217" s="12">
        <v>7.5</v>
      </c>
      <c r="K217" s="15">
        <f t="shared" si="3"/>
        <v>2.5500000000000007</v>
      </c>
    </row>
    <row r="218" spans="1:11" ht="15.75" customHeight="1" x14ac:dyDescent="0.3">
      <c r="A218" s="8">
        <v>1217</v>
      </c>
      <c r="B218" s="8" t="s">
        <v>66</v>
      </c>
      <c r="C218" s="8" t="s">
        <v>52</v>
      </c>
      <c r="D218" s="8" t="s">
        <v>30</v>
      </c>
      <c r="E218" s="8" t="s">
        <v>56</v>
      </c>
      <c r="F218" s="8" t="s">
        <v>33</v>
      </c>
      <c r="G218" s="9">
        <v>4629</v>
      </c>
      <c r="H218" s="11">
        <v>20.04</v>
      </c>
      <c r="I218" s="11">
        <v>14.14</v>
      </c>
      <c r="J218" s="12">
        <v>8.8000000000000007</v>
      </c>
      <c r="K218" s="15">
        <f t="shared" si="3"/>
        <v>5.8999999999999986</v>
      </c>
    </row>
    <row r="219" spans="1:11" ht="15.75" customHeight="1" x14ac:dyDescent="0.3">
      <c r="A219" s="8">
        <v>1218</v>
      </c>
      <c r="B219" s="8" t="s">
        <v>66</v>
      </c>
      <c r="C219" s="8" t="s">
        <v>52</v>
      </c>
      <c r="D219" s="8" t="s">
        <v>30</v>
      </c>
      <c r="E219" s="8" t="s">
        <v>32</v>
      </c>
      <c r="F219" s="8" t="s">
        <v>43</v>
      </c>
      <c r="G219" s="9">
        <v>1657</v>
      </c>
      <c r="H219" s="11">
        <v>7.78</v>
      </c>
      <c r="I219" s="11">
        <v>5.55</v>
      </c>
      <c r="J219" s="12">
        <v>7.1</v>
      </c>
      <c r="K219" s="15">
        <f t="shared" si="3"/>
        <v>2.2300000000000004</v>
      </c>
    </row>
    <row r="220" spans="1:11" ht="15.75" customHeight="1" x14ac:dyDescent="0.3">
      <c r="A220" s="8">
        <v>1219</v>
      </c>
      <c r="B220" s="8" t="s">
        <v>66</v>
      </c>
      <c r="C220" s="8" t="s">
        <v>52</v>
      </c>
      <c r="D220" s="8" t="s">
        <v>40</v>
      </c>
      <c r="E220" s="8" t="s">
        <v>46</v>
      </c>
      <c r="F220" s="8" t="s">
        <v>43</v>
      </c>
      <c r="G220" s="9">
        <v>3278</v>
      </c>
      <c r="H220" s="11">
        <v>19.420000000000002</v>
      </c>
      <c r="I220" s="11">
        <v>13.73</v>
      </c>
      <c r="J220" s="12">
        <v>7.2</v>
      </c>
      <c r="K220" s="15">
        <f t="shared" si="3"/>
        <v>5.6900000000000013</v>
      </c>
    </row>
    <row r="221" spans="1:11" ht="15.75" customHeight="1" x14ac:dyDescent="0.3">
      <c r="A221" s="8">
        <v>1220</v>
      </c>
      <c r="B221" s="8" t="s">
        <v>66</v>
      </c>
      <c r="C221" s="8" t="s">
        <v>52</v>
      </c>
      <c r="D221" s="8" t="s">
        <v>40</v>
      </c>
      <c r="E221" s="8" t="s">
        <v>53</v>
      </c>
      <c r="F221" s="8" t="s">
        <v>33</v>
      </c>
      <c r="G221" s="9">
        <v>6271</v>
      </c>
      <c r="H221" s="11">
        <v>48.49</v>
      </c>
      <c r="I221" s="11">
        <v>30.57</v>
      </c>
      <c r="J221" s="12">
        <v>8.1999999999999993</v>
      </c>
      <c r="K221" s="15">
        <f t="shared" si="3"/>
        <v>17.920000000000002</v>
      </c>
    </row>
    <row r="222" spans="1:11" ht="15.75" customHeight="1" x14ac:dyDescent="0.3">
      <c r="A222" s="8">
        <v>1221</v>
      </c>
      <c r="B222" s="8" t="s">
        <v>66</v>
      </c>
      <c r="C222" s="8" t="s">
        <v>52</v>
      </c>
      <c r="D222" s="8" t="s">
        <v>49</v>
      </c>
      <c r="E222" s="8" t="s">
        <v>50</v>
      </c>
      <c r="F222" s="8" t="s">
        <v>43</v>
      </c>
      <c r="G222" s="9">
        <v>3682</v>
      </c>
      <c r="H222" s="11">
        <v>8.02</v>
      </c>
      <c r="I222" s="11">
        <v>6.7</v>
      </c>
      <c r="J222" s="12">
        <v>6.5</v>
      </c>
      <c r="K222" s="15">
        <f t="shared" si="3"/>
        <v>1.3199999999999994</v>
      </c>
    </row>
    <row r="223" spans="1:11" ht="15.75" customHeight="1" x14ac:dyDescent="0.3">
      <c r="A223" s="8">
        <v>1222</v>
      </c>
      <c r="B223" s="8" t="s">
        <v>66</v>
      </c>
      <c r="C223" s="8" t="s">
        <v>52</v>
      </c>
      <c r="D223" s="8" t="s">
        <v>49</v>
      </c>
      <c r="E223" s="8" t="s">
        <v>54</v>
      </c>
      <c r="F223" s="8" t="s">
        <v>43</v>
      </c>
      <c r="G223" s="9">
        <v>1343</v>
      </c>
      <c r="H223" s="11">
        <v>0.9</v>
      </c>
      <c r="I223" s="11">
        <v>0.59</v>
      </c>
      <c r="J223" s="12">
        <v>7.3</v>
      </c>
      <c r="K223" s="15">
        <f t="shared" si="3"/>
        <v>0.31000000000000005</v>
      </c>
    </row>
    <row r="224" spans="1:11" ht="15.75" customHeight="1" x14ac:dyDescent="0.3">
      <c r="A224" s="8">
        <v>1223</v>
      </c>
      <c r="B224" s="8" t="s">
        <v>66</v>
      </c>
      <c r="C224" s="8" t="s">
        <v>55</v>
      </c>
      <c r="D224" s="8" t="s">
        <v>30</v>
      </c>
      <c r="E224" s="8" t="s">
        <v>32</v>
      </c>
      <c r="F224" s="8" t="s">
        <v>33</v>
      </c>
      <c r="G224" s="9">
        <v>5392</v>
      </c>
      <c r="H224" s="11">
        <v>30.45</v>
      </c>
      <c r="I224" s="11">
        <v>23.72</v>
      </c>
      <c r="J224" s="12">
        <v>8</v>
      </c>
      <c r="K224" s="15">
        <f t="shared" si="3"/>
        <v>6.73</v>
      </c>
    </row>
    <row r="225" spans="1:11" ht="15.75" customHeight="1" x14ac:dyDescent="0.3">
      <c r="A225" s="8">
        <v>1224</v>
      </c>
      <c r="B225" s="8" t="s">
        <v>66</v>
      </c>
      <c r="C225" s="8" t="s">
        <v>55</v>
      </c>
      <c r="D225" s="8" t="s">
        <v>30</v>
      </c>
      <c r="E225" s="8" t="s">
        <v>37</v>
      </c>
      <c r="F225" s="8" t="s">
        <v>43</v>
      </c>
      <c r="G225" s="9">
        <v>3572</v>
      </c>
      <c r="H225" s="11">
        <v>15.6</v>
      </c>
      <c r="I225" s="11">
        <v>9.11</v>
      </c>
      <c r="J225" s="12">
        <v>8.6</v>
      </c>
      <c r="K225" s="15">
        <f t="shared" si="3"/>
        <v>6.49</v>
      </c>
    </row>
    <row r="226" spans="1:11" ht="15.75" customHeight="1" x14ac:dyDescent="0.3">
      <c r="A226" s="8">
        <v>1225</v>
      </c>
      <c r="B226" s="8" t="s">
        <v>66</v>
      </c>
      <c r="C226" s="8" t="s">
        <v>55</v>
      </c>
      <c r="D226" s="8" t="s">
        <v>40</v>
      </c>
      <c r="E226" s="8" t="s">
        <v>53</v>
      </c>
      <c r="F226" s="8" t="s">
        <v>33</v>
      </c>
      <c r="G226" s="9">
        <v>2690</v>
      </c>
      <c r="H226" s="11">
        <v>11.45</v>
      </c>
      <c r="I226" s="11">
        <v>9.15</v>
      </c>
      <c r="J226" s="12">
        <v>7</v>
      </c>
      <c r="K226" s="15">
        <f t="shared" si="3"/>
        <v>2.2999999999999989</v>
      </c>
    </row>
    <row r="227" spans="1:11" ht="15.75" customHeight="1" x14ac:dyDescent="0.3">
      <c r="A227" s="8">
        <v>1226</v>
      </c>
      <c r="B227" s="8" t="s">
        <v>66</v>
      </c>
      <c r="C227" s="8" t="s">
        <v>55</v>
      </c>
      <c r="D227" s="8" t="s">
        <v>40</v>
      </c>
      <c r="E227" s="8" t="s">
        <v>42</v>
      </c>
      <c r="F227" s="8" t="s">
        <v>43</v>
      </c>
      <c r="G227" s="9">
        <v>2291</v>
      </c>
      <c r="H227" s="11">
        <v>7.71</v>
      </c>
      <c r="I227" s="11">
        <v>4.25</v>
      </c>
      <c r="J227" s="12">
        <v>8.5</v>
      </c>
      <c r="K227" s="15">
        <f t="shared" si="3"/>
        <v>3.46</v>
      </c>
    </row>
    <row r="228" spans="1:11" ht="15.75" customHeight="1" x14ac:dyDescent="0.3">
      <c r="A228" s="8">
        <v>1227</v>
      </c>
      <c r="B228" s="8" t="s">
        <v>66</v>
      </c>
      <c r="C228" s="8" t="s">
        <v>55</v>
      </c>
      <c r="D228" s="8" t="s">
        <v>49</v>
      </c>
      <c r="E228" s="8" t="s">
        <v>50</v>
      </c>
      <c r="F228" s="8" t="s">
        <v>43</v>
      </c>
      <c r="G228" s="9">
        <v>5589</v>
      </c>
      <c r="H228" s="11">
        <v>8.57</v>
      </c>
      <c r="I228" s="11">
        <v>5.48</v>
      </c>
      <c r="J228" s="12">
        <v>6.6</v>
      </c>
      <c r="K228" s="15">
        <f t="shared" si="3"/>
        <v>3.09</v>
      </c>
    </row>
    <row r="229" spans="1:11" ht="15.75" customHeight="1" x14ac:dyDescent="0.3">
      <c r="A229" s="8">
        <v>1228</v>
      </c>
      <c r="B229" s="8" t="s">
        <v>66</v>
      </c>
      <c r="C229" s="8" t="s">
        <v>55</v>
      </c>
      <c r="D229" s="8" t="s">
        <v>49</v>
      </c>
      <c r="E229" s="8" t="s">
        <v>51</v>
      </c>
      <c r="F229" s="8" t="s">
        <v>57</v>
      </c>
      <c r="G229" s="9">
        <v>6134</v>
      </c>
      <c r="H229" s="11">
        <v>8.6</v>
      </c>
      <c r="I229" s="11">
        <v>5.25</v>
      </c>
      <c r="J229" s="12">
        <v>6.5</v>
      </c>
      <c r="K229" s="15">
        <f t="shared" si="3"/>
        <v>3.3499999999999996</v>
      </c>
    </row>
    <row r="230" spans="1:11" ht="15.75" customHeight="1" x14ac:dyDescent="0.3">
      <c r="A230" s="8">
        <v>1229</v>
      </c>
      <c r="B230" s="8" t="s">
        <v>66</v>
      </c>
      <c r="C230" s="8" t="s">
        <v>58</v>
      </c>
      <c r="D230" s="8" t="s">
        <v>30</v>
      </c>
      <c r="E230" s="8" t="s">
        <v>56</v>
      </c>
      <c r="F230" s="8" t="s">
        <v>43</v>
      </c>
      <c r="G230" s="9">
        <v>2978</v>
      </c>
      <c r="H230" s="11">
        <v>10.98</v>
      </c>
      <c r="I230" s="11">
        <v>7.86</v>
      </c>
      <c r="J230" s="12">
        <v>8.1</v>
      </c>
      <c r="K230" s="15">
        <f t="shared" si="3"/>
        <v>3.12</v>
      </c>
    </row>
    <row r="231" spans="1:11" ht="15.75" customHeight="1" x14ac:dyDescent="0.3">
      <c r="A231" s="8">
        <v>1230</v>
      </c>
      <c r="B231" s="8" t="s">
        <v>66</v>
      </c>
      <c r="C231" s="8" t="s">
        <v>58</v>
      </c>
      <c r="D231" s="8" t="s">
        <v>30</v>
      </c>
      <c r="E231" s="8" t="s">
        <v>37</v>
      </c>
      <c r="F231" s="8" t="s">
        <v>33</v>
      </c>
      <c r="G231" s="9">
        <v>924</v>
      </c>
      <c r="H231" s="11">
        <v>3.46</v>
      </c>
      <c r="I231" s="11">
        <v>2.4</v>
      </c>
      <c r="J231" s="12">
        <v>7.4</v>
      </c>
      <c r="K231" s="15">
        <f t="shared" si="3"/>
        <v>1.06</v>
      </c>
    </row>
    <row r="232" spans="1:11" ht="15.75" customHeight="1" x14ac:dyDescent="0.3">
      <c r="A232" s="8">
        <v>1231</v>
      </c>
      <c r="B232" s="8" t="s">
        <v>66</v>
      </c>
      <c r="C232" s="8" t="s">
        <v>58</v>
      </c>
      <c r="D232" s="8" t="s">
        <v>40</v>
      </c>
      <c r="E232" s="8" t="s">
        <v>53</v>
      </c>
      <c r="F232" s="8" t="s">
        <v>33</v>
      </c>
      <c r="G232" s="9">
        <v>4739</v>
      </c>
      <c r="H232" s="11">
        <v>29.14</v>
      </c>
      <c r="I232" s="11">
        <v>20.52</v>
      </c>
      <c r="J232" s="12">
        <v>7.2</v>
      </c>
      <c r="K232" s="15">
        <f t="shared" si="3"/>
        <v>8.620000000000001</v>
      </c>
    </row>
    <row r="233" spans="1:11" ht="15.75" customHeight="1" x14ac:dyDescent="0.3">
      <c r="A233" s="8">
        <v>1232</v>
      </c>
      <c r="B233" s="8" t="s">
        <v>66</v>
      </c>
      <c r="C233" s="8" t="s">
        <v>58</v>
      </c>
      <c r="D233" s="8" t="s">
        <v>40</v>
      </c>
      <c r="E233" s="8" t="s">
        <v>46</v>
      </c>
      <c r="F233" s="8" t="s">
        <v>33</v>
      </c>
      <c r="G233" s="9">
        <v>3878</v>
      </c>
      <c r="H233" s="11">
        <v>14.14</v>
      </c>
      <c r="I233" s="11">
        <v>10.75</v>
      </c>
      <c r="J233" s="12">
        <v>8.9</v>
      </c>
      <c r="K233" s="15">
        <f t="shared" si="3"/>
        <v>3.3900000000000006</v>
      </c>
    </row>
    <row r="234" spans="1:11" ht="15.75" customHeight="1" x14ac:dyDescent="0.3">
      <c r="A234" s="8">
        <v>1233</v>
      </c>
      <c r="B234" s="8" t="s">
        <v>66</v>
      </c>
      <c r="C234" s="8" t="s">
        <v>58</v>
      </c>
      <c r="D234" s="8" t="s">
        <v>49</v>
      </c>
      <c r="E234" s="8" t="s">
        <v>54</v>
      </c>
      <c r="F234" s="8" t="s">
        <v>43</v>
      </c>
      <c r="G234" s="9">
        <v>1340</v>
      </c>
      <c r="H234" s="11">
        <v>1.6</v>
      </c>
      <c r="I234" s="11">
        <v>1.05</v>
      </c>
      <c r="J234" s="12">
        <v>9.3000000000000007</v>
      </c>
      <c r="K234" s="15">
        <f t="shared" si="3"/>
        <v>0.55000000000000004</v>
      </c>
    </row>
    <row r="235" spans="1:11" ht="15.75" customHeight="1" x14ac:dyDescent="0.3">
      <c r="A235" s="8">
        <v>1234</v>
      </c>
      <c r="B235" s="8" t="s">
        <v>66</v>
      </c>
      <c r="C235" s="8" t="s">
        <v>58</v>
      </c>
      <c r="D235" s="8" t="s">
        <v>49</v>
      </c>
      <c r="E235" s="8" t="s">
        <v>50</v>
      </c>
      <c r="F235" s="8" t="s">
        <v>43</v>
      </c>
      <c r="G235" s="9">
        <v>4207</v>
      </c>
      <c r="H235" s="11">
        <v>4.33</v>
      </c>
      <c r="I235" s="11">
        <v>3.1</v>
      </c>
      <c r="J235" s="12">
        <v>6.4</v>
      </c>
      <c r="K235" s="15">
        <f t="shared" si="3"/>
        <v>1.23</v>
      </c>
    </row>
    <row r="236" spans="1:11" ht="15.75" customHeight="1" x14ac:dyDescent="0.3">
      <c r="A236" s="8">
        <v>1235</v>
      </c>
      <c r="B236" s="8" t="s">
        <v>66</v>
      </c>
      <c r="C236" s="8" t="s">
        <v>59</v>
      </c>
      <c r="D236" s="8" t="s">
        <v>30</v>
      </c>
      <c r="E236" s="8" t="s">
        <v>56</v>
      </c>
      <c r="F236" s="8" t="s">
        <v>33</v>
      </c>
      <c r="G236" s="9">
        <v>2655</v>
      </c>
      <c r="H236" s="11">
        <v>10.72</v>
      </c>
      <c r="I236" s="11">
        <v>7.9</v>
      </c>
      <c r="J236" s="12">
        <v>8.8000000000000007</v>
      </c>
      <c r="K236" s="15">
        <f t="shared" si="3"/>
        <v>2.8200000000000003</v>
      </c>
    </row>
    <row r="237" spans="1:11" ht="15.75" customHeight="1" x14ac:dyDescent="0.3">
      <c r="A237" s="8">
        <v>1236</v>
      </c>
      <c r="B237" s="8" t="s">
        <v>66</v>
      </c>
      <c r="C237" s="8" t="s">
        <v>59</v>
      </c>
      <c r="D237" s="8" t="s">
        <v>30</v>
      </c>
      <c r="E237" s="8" t="s">
        <v>37</v>
      </c>
      <c r="F237" s="8" t="s">
        <v>43</v>
      </c>
      <c r="G237" s="9">
        <v>3547</v>
      </c>
      <c r="H237" s="11">
        <v>16.07</v>
      </c>
      <c r="I237" s="11">
        <v>8.98</v>
      </c>
      <c r="J237" s="12">
        <v>5.8</v>
      </c>
      <c r="K237" s="15">
        <f t="shared" si="3"/>
        <v>7.09</v>
      </c>
    </row>
    <row r="238" spans="1:11" ht="15.75" customHeight="1" x14ac:dyDescent="0.3">
      <c r="A238" s="8">
        <v>1237</v>
      </c>
      <c r="B238" s="8" t="s">
        <v>66</v>
      </c>
      <c r="C238" s="8" t="s">
        <v>59</v>
      </c>
      <c r="D238" s="8" t="s">
        <v>40</v>
      </c>
      <c r="E238" s="8" t="s">
        <v>42</v>
      </c>
      <c r="F238" s="8" t="s">
        <v>33</v>
      </c>
      <c r="G238" s="9">
        <v>3278</v>
      </c>
      <c r="H238" s="11">
        <v>17.13</v>
      </c>
      <c r="I238" s="11">
        <v>11.12</v>
      </c>
      <c r="J238" s="12">
        <v>7.8</v>
      </c>
      <c r="K238" s="15">
        <f t="shared" si="3"/>
        <v>6.01</v>
      </c>
    </row>
    <row r="239" spans="1:11" ht="15.75" customHeight="1" x14ac:dyDescent="0.3">
      <c r="A239" s="8">
        <v>1238</v>
      </c>
      <c r="B239" s="8" t="s">
        <v>66</v>
      </c>
      <c r="C239" s="8" t="s">
        <v>59</v>
      </c>
      <c r="D239" s="8" t="s">
        <v>40</v>
      </c>
      <c r="E239" s="8" t="s">
        <v>53</v>
      </c>
      <c r="F239" s="8" t="s">
        <v>43</v>
      </c>
      <c r="G239" s="9">
        <v>2833</v>
      </c>
      <c r="H239" s="11">
        <v>12.13</v>
      </c>
      <c r="I239" s="11">
        <v>9</v>
      </c>
      <c r="J239" s="12">
        <v>7</v>
      </c>
      <c r="K239" s="15">
        <f t="shared" si="3"/>
        <v>3.1300000000000008</v>
      </c>
    </row>
    <row r="240" spans="1:11" ht="15.75" customHeight="1" x14ac:dyDescent="0.3">
      <c r="A240" s="8">
        <v>1239</v>
      </c>
      <c r="B240" s="8" t="s">
        <v>66</v>
      </c>
      <c r="C240" s="8" t="s">
        <v>59</v>
      </c>
      <c r="D240" s="8" t="s">
        <v>49</v>
      </c>
      <c r="E240" s="8" t="s">
        <v>51</v>
      </c>
      <c r="F240" s="8" t="s">
        <v>57</v>
      </c>
      <c r="G240" s="9">
        <v>1110</v>
      </c>
      <c r="H240" s="11">
        <v>1.47</v>
      </c>
      <c r="I240" s="11">
        <v>0.96</v>
      </c>
      <c r="J240" s="12">
        <v>6.1</v>
      </c>
      <c r="K240" s="15">
        <f t="shared" si="3"/>
        <v>0.51</v>
      </c>
    </row>
    <row r="241" spans="1:11" ht="15.75" customHeight="1" x14ac:dyDescent="0.3">
      <c r="A241" s="8">
        <v>1240</v>
      </c>
      <c r="B241" s="8" t="s">
        <v>66</v>
      </c>
      <c r="C241" s="8" t="s">
        <v>59</v>
      </c>
      <c r="D241" s="8" t="s">
        <v>49</v>
      </c>
      <c r="E241" s="8" t="s">
        <v>50</v>
      </c>
      <c r="F241" s="8" t="s">
        <v>43</v>
      </c>
      <c r="G241" s="9">
        <v>3162</v>
      </c>
      <c r="H241" s="11">
        <v>7.69</v>
      </c>
      <c r="I241" s="11">
        <v>4.53</v>
      </c>
      <c r="J241" s="12">
        <v>6.9</v>
      </c>
      <c r="K241" s="15">
        <f>H241-I241</f>
        <v>3.16</v>
      </c>
    </row>
    <row r="242" spans="1:11" ht="15.75" customHeight="1" x14ac:dyDescent="0.3"/>
    <row r="243" spans="1:11" ht="15.75" customHeight="1" x14ac:dyDescent="0.3"/>
    <row r="244" spans="1:11" ht="15.75" customHeight="1" x14ac:dyDescent="0.3"/>
    <row r="245" spans="1:11" ht="15.75" customHeight="1" x14ac:dyDescent="0.3"/>
    <row r="246" spans="1:11" ht="15.75" customHeight="1" x14ac:dyDescent="0.3"/>
    <row r="247" spans="1:11" ht="15.75" customHeight="1" x14ac:dyDescent="0.3"/>
    <row r="248" spans="1:11" ht="15.75" customHeight="1" x14ac:dyDescent="0.3"/>
    <row r="249" spans="1:11" ht="15.75" customHeight="1" x14ac:dyDescent="0.3"/>
    <row r="250" spans="1:11" ht="15.75" customHeight="1" x14ac:dyDescent="0.3"/>
    <row r="251" spans="1:11" ht="15.75" customHeight="1" x14ac:dyDescent="0.3"/>
    <row r="252" spans="1:11" ht="15.75" customHeight="1" x14ac:dyDescent="0.3"/>
    <row r="253" spans="1:11" ht="15.75" customHeight="1" x14ac:dyDescent="0.3"/>
    <row r="254" spans="1:11" ht="15.75" customHeight="1" x14ac:dyDescent="0.3"/>
    <row r="255" spans="1:11" ht="15.75" customHeight="1" x14ac:dyDescent="0.3"/>
    <row r="256" spans="1:11"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autoFilter ref="A2:J241" xr:uid="{00000000-0009-0000-0000-000001000000}"/>
  <mergeCells count="1">
    <mergeCell ref="A1:J1"/>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showGridLines="0" workbookViewId="0">
      <pane ySplit="1" topLeftCell="A2" activePane="bottomLeft" state="frozen"/>
      <selection pane="bottomLeft" activeCell="B25" sqref="B25:B26"/>
    </sheetView>
  </sheetViews>
  <sheetFormatPr defaultColWidth="14.44140625" defaultRowHeight="15" customHeight="1" x14ac:dyDescent="0.3"/>
  <cols>
    <col min="1" max="1" width="3.44140625" customWidth="1"/>
    <col min="2" max="2" width="157.44140625" customWidth="1"/>
    <col min="3" max="3" width="42.77734375" customWidth="1"/>
    <col min="4" max="6" width="8.77734375" customWidth="1"/>
  </cols>
  <sheetData>
    <row r="1" spans="1:4" ht="30" customHeight="1" x14ac:dyDescent="0.3">
      <c r="A1" s="1"/>
      <c r="B1" s="44" t="s">
        <v>1</v>
      </c>
      <c r="C1" s="45"/>
      <c r="D1" s="5"/>
    </row>
    <row r="2" spans="1:4" ht="18" customHeight="1" x14ac:dyDescent="0.3">
      <c r="A2" s="1"/>
      <c r="B2" s="46" t="s">
        <v>5</v>
      </c>
      <c r="C2" s="45"/>
      <c r="D2" s="5"/>
    </row>
    <row r="3" spans="1:4" ht="14.4" x14ac:dyDescent="0.3">
      <c r="A3" s="7">
        <v>1</v>
      </c>
      <c r="B3" s="47" t="s">
        <v>19</v>
      </c>
      <c r="C3" s="43"/>
      <c r="D3" s="5"/>
    </row>
    <row r="4" spans="1:4" ht="16.5" customHeight="1" x14ac:dyDescent="0.3">
      <c r="A4" s="7">
        <v>2</v>
      </c>
      <c r="B4" s="47" t="s">
        <v>26</v>
      </c>
      <c r="C4" s="43"/>
      <c r="D4" s="5"/>
    </row>
    <row r="5" spans="1:4" ht="14.4" x14ac:dyDescent="0.3">
      <c r="A5" s="7">
        <v>3</v>
      </c>
      <c r="B5" s="47" t="s">
        <v>27</v>
      </c>
      <c r="C5" s="43"/>
      <c r="D5" s="5"/>
    </row>
    <row r="6" spans="1:4" ht="14.4" x14ac:dyDescent="0.3">
      <c r="A6" s="7">
        <v>4</v>
      </c>
      <c r="B6" s="47" t="s">
        <v>31</v>
      </c>
      <c r="C6" s="43"/>
      <c r="D6" s="5"/>
    </row>
    <row r="7" spans="1:4" ht="14.4" x14ac:dyDescent="0.3">
      <c r="A7" s="7">
        <v>5</v>
      </c>
      <c r="B7" s="47" t="s">
        <v>34</v>
      </c>
      <c r="C7" s="43"/>
      <c r="D7" s="5"/>
    </row>
    <row r="8" spans="1:4" ht="15.75" customHeight="1" x14ac:dyDescent="0.3">
      <c r="A8" s="1"/>
      <c r="B8" s="10"/>
      <c r="C8" s="5"/>
      <c r="D8" s="5"/>
    </row>
    <row r="9" spans="1:4" ht="18" customHeight="1" x14ac:dyDescent="0.3">
      <c r="A9" s="1"/>
      <c r="B9" s="46" t="s">
        <v>35</v>
      </c>
      <c r="C9" s="45"/>
      <c r="D9" s="5"/>
    </row>
    <row r="10" spans="1:4" ht="14.4" x14ac:dyDescent="0.3">
      <c r="A10" s="7">
        <v>6</v>
      </c>
      <c r="B10" s="47" t="s">
        <v>36</v>
      </c>
      <c r="C10" s="43"/>
      <c r="D10" s="5"/>
    </row>
    <row r="11" spans="1:4" ht="15.75" customHeight="1" x14ac:dyDescent="0.3">
      <c r="A11" s="1"/>
      <c r="B11" s="10"/>
      <c r="C11" s="5"/>
      <c r="D11" s="5"/>
    </row>
    <row r="12" spans="1:4" ht="18" customHeight="1" x14ac:dyDescent="0.3">
      <c r="A12" s="1"/>
      <c r="B12" s="46" t="s">
        <v>38</v>
      </c>
      <c r="C12" s="45"/>
      <c r="D12" s="5"/>
    </row>
    <row r="13" spans="1:4" ht="14.4" x14ac:dyDescent="0.3">
      <c r="A13" s="13">
        <v>7</v>
      </c>
      <c r="B13" s="47" t="s">
        <v>39</v>
      </c>
      <c r="C13" s="43"/>
      <c r="D13" s="5"/>
    </row>
    <row r="14" spans="1:4" ht="14.4" x14ac:dyDescent="0.3">
      <c r="A14" s="13">
        <v>8</v>
      </c>
      <c r="B14" s="47" t="s">
        <v>41</v>
      </c>
      <c r="C14" s="43"/>
      <c r="D14" s="5"/>
    </row>
    <row r="15" spans="1:4" ht="14.4" x14ac:dyDescent="0.3">
      <c r="A15" s="13">
        <v>9</v>
      </c>
      <c r="B15" s="47" t="s">
        <v>44</v>
      </c>
      <c r="C15" s="43"/>
      <c r="D15" s="5"/>
    </row>
    <row r="16" spans="1:4" ht="14.4" x14ac:dyDescent="0.3">
      <c r="A16" s="1"/>
      <c r="B16" s="10"/>
      <c r="C16" s="5"/>
      <c r="D16" s="5"/>
    </row>
    <row r="17" spans="1:4" ht="18" customHeight="1" x14ac:dyDescent="0.3">
      <c r="A17" s="1"/>
      <c r="B17" s="46" t="s">
        <v>45</v>
      </c>
      <c r="C17" s="45"/>
      <c r="D17" s="5"/>
    </row>
    <row r="18" spans="1:4" ht="14.4" x14ac:dyDescent="0.3">
      <c r="A18" s="13">
        <v>10</v>
      </c>
      <c r="B18" s="47" t="s">
        <v>47</v>
      </c>
      <c r="C18" s="43"/>
      <c r="D18" s="5"/>
    </row>
    <row r="19" spans="1:4" ht="14.4" x14ac:dyDescent="0.3">
      <c r="A19" s="13">
        <v>11</v>
      </c>
      <c r="B19" s="47" t="s">
        <v>48</v>
      </c>
      <c r="C19" s="43"/>
      <c r="D19" s="5"/>
    </row>
    <row r="20" spans="1:4" ht="15.75" customHeight="1" x14ac:dyDescent="0.3">
      <c r="A20" s="1"/>
      <c r="B20" s="10"/>
      <c r="C20" s="5"/>
      <c r="D20" s="5"/>
    </row>
    <row r="21" spans="1:4" ht="15.75" customHeight="1" x14ac:dyDescent="0.3">
      <c r="A21" s="1"/>
      <c r="B21" s="10"/>
      <c r="C21" s="5"/>
      <c r="D21" s="5"/>
    </row>
    <row r="22" spans="1:4" ht="15.75" customHeight="1" x14ac:dyDescent="0.3">
      <c r="A22" s="1"/>
      <c r="B22" s="10"/>
      <c r="C22" s="5"/>
      <c r="D22" s="5"/>
    </row>
    <row r="23" spans="1:4" ht="15.75" customHeight="1" x14ac:dyDescent="0.3">
      <c r="A23" s="1"/>
      <c r="B23" s="10"/>
      <c r="C23" s="5"/>
      <c r="D23" s="5"/>
    </row>
    <row r="24" spans="1:4" ht="15.75" customHeight="1" x14ac:dyDescent="0.3">
      <c r="A24" s="1"/>
      <c r="B24" s="10"/>
      <c r="C24" s="5"/>
      <c r="D24" s="5"/>
    </row>
    <row r="25" spans="1:4" ht="15.75" customHeight="1" x14ac:dyDescent="0.3">
      <c r="A25" s="1"/>
      <c r="B25" s="10"/>
      <c r="C25" s="5"/>
      <c r="D25" s="5"/>
    </row>
    <row r="26" spans="1:4" ht="15.75" customHeight="1" x14ac:dyDescent="0.3">
      <c r="A26" s="1"/>
      <c r="B26" s="10"/>
      <c r="C26" s="5"/>
      <c r="D26" s="5"/>
    </row>
    <row r="27" spans="1:4" ht="15.75" customHeight="1" x14ac:dyDescent="0.3">
      <c r="A27" s="1"/>
      <c r="B27" s="10"/>
      <c r="C27" s="5"/>
      <c r="D27" s="5"/>
    </row>
    <row r="28" spans="1:4" ht="15.75" customHeight="1" x14ac:dyDescent="0.3">
      <c r="A28" s="1"/>
      <c r="B28" s="10"/>
      <c r="C28" s="5"/>
      <c r="D28" s="5"/>
    </row>
    <row r="29" spans="1:4" ht="15.75" customHeight="1" x14ac:dyDescent="0.3">
      <c r="A29" s="1"/>
      <c r="B29" s="10"/>
      <c r="C29" s="5"/>
      <c r="D29" s="5"/>
    </row>
    <row r="30" spans="1:4" ht="15.75" customHeight="1" x14ac:dyDescent="0.3">
      <c r="A30" s="1"/>
      <c r="B30" s="10"/>
      <c r="C30" s="5"/>
      <c r="D30" s="5"/>
    </row>
    <row r="31" spans="1:4" ht="15.75" customHeight="1" x14ac:dyDescent="0.3">
      <c r="A31" s="1"/>
      <c r="B31" s="10"/>
      <c r="C31" s="5"/>
      <c r="D31" s="5"/>
    </row>
    <row r="32" spans="1:4" ht="15.75" customHeight="1" x14ac:dyDescent="0.3">
      <c r="A32" s="1"/>
      <c r="B32" s="10"/>
      <c r="C32" s="5"/>
      <c r="D32" s="5"/>
    </row>
    <row r="33" spans="1:4" ht="15.75" customHeight="1" x14ac:dyDescent="0.3">
      <c r="A33" s="1"/>
      <c r="B33" s="10"/>
      <c r="C33" s="5"/>
      <c r="D33" s="5"/>
    </row>
    <row r="34" spans="1:4" ht="15.75" customHeight="1" x14ac:dyDescent="0.3">
      <c r="A34" s="1"/>
      <c r="B34" s="10"/>
      <c r="C34" s="5"/>
      <c r="D34" s="5"/>
    </row>
    <row r="35" spans="1:4" ht="15.75" customHeight="1" x14ac:dyDescent="0.3">
      <c r="A35" s="1"/>
      <c r="B35" s="10"/>
      <c r="C35" s="5"/>
      <c r="D35" s="5"/>
    </row>
    <row r="36" spans="1:4" ht="15.75" customHeight="1" x14ac:dyDescent="0.3">
      <c r="A36" s="1"/>
      <c r="B36" s="10"/>
      <c r="C36" s="5"/>
      <c r="D36" s="5"/>
    </row>
    <row r="37" spans="1:4" ht="15.75" customHeight="1" x14ac:dyDescent="0.3">
      <c r="A37" s="1"/>
      <c r="B37" s="10"/>
      <c r="C37" s="5"/>
      <c r="D37" s="5"/>
    </row>
    <row r="38" spans="1:4" ht="15.75" customHeight="1" x14ac:dyDescent="0.3">
      <c r="A38" s="1"/>
      <c r="B38" s="10"/>
      <c r="C38" s="5"/>
      <c r="D38" s="5"/>
    </row>
    <row r="39" spans="1:4" ht="15.75" customHeight="1" x14ac:dyDescent="0.3">
      <c r="A39" s="1"/>
      <c r="B39" s="10"/>
      <c r="C39" s="5"/>
      <c r="D39" s="5"/>
    </row>
    <row r="40" spans="1:4" ht="15.75" customHeight="1" x14ac:dyDescent="0.3">
      <c r="A40" s="1"/>
      <c r="B40" s="10"/>
      <c r="C40" s="5"/>
      <c r="D40" s="5"/>
    </row>
    <row r="41" spans="1:4" ht="15.75" customHeight="1" x14ac:dyDescent="0.3">
      <c r="A41" s="1"/>
      <c r="B41" s="14"/>
    </row>
    <row r="42" spans="1:4" ht="15.75" customHeight="1" x14ac:dyDescent="0.3">
      <c r="A42" s="1"/>
      <c r="B42" s="14"/>
    </row>
    <row r="43" spans="1:4" ht="15.75" customHeight="1" x14ac:dyDescent="0.3">
      <c r="A43" s="1"/>
      <c r="B43" s="14"/>
    </row>
    <row r="44" spans="1:4" ht="15.75" customHeight="1" x14ac:dyDescent="0.3">
      <c r="A44" s="1"/>
      <c r="B44" s="14"/>
    </row>
    <row r="45" spans="1:4" ht="15.75" customHeight="1" x14ac:dyDescent="0.3">
      <c r="A45" s="1"/>
      <c r="B45" s="14"/>
    </row>
    <row r="46" spans="1:4" ht="15.75" customHeight="1" x14ac:dyDescent="0.3">
      <c r="A46" s="1"/>
      <c r="B46" s="14"/>
    </row>
    <row r="47" spans="1:4" ht="15.75" customHeight="1" x14ac:dyDescent="0.3">
      <c r="A47" s="1"/>
      <c r="B47" s="14"/>
    </row>
    <row r="48" spans="1:4" ht="15.75" customHeight="1" x14ac:dyDescent="0.3">
      <c r="A48" s="1"/>
      <c r="B48" s="14"/>
    </row>
    <row r="49" spans="1:2" ht="15.75" customHeight="1" x14ac:dyDescent="0.3">
      <c r="A49" s="1"/>
      <c r="B49" s="14"/>
    </row>
    <row r="50" spans="1:2" ht="15.75" customHeight="1" x14ac:dyDescent="0.3">
      <c r="A50" s="1"/>
      <c r="B50" s="14"/>
    </row>
    <row r="51" spans="1:2" ht="15.75" customHeight="1" x14ac:dyDescent="0.3">
      <c r="A51" s="1"/>
      <c r="B51" s="14"/>
    </row>
    <row r="52" spans="1:2" ht="15.75" customHeight="1" x14ac:dyDescent="0.3">
      <c r="A52" s="1"/>
      <c r="B52" s="14"/>
    </row>
    <row r="53" spans="1:2" ht="15.75" customHeight="1" x14ac:dyDescent="0.3">
      <c r="A53" s="1"/>
      <c r="B53" s="14"/>
    </row>
    <row r="54" spans="1:2" ht="15.75" customHeight="1" x14ac:dyDescent="0.3">
      <c r="A54" s="1"/>
      <c r="B54" s="14"/>
    </row>
    <row r="55" spans="1:2" ht="15.75" customHeight="1" x14ac:dyDescent="0.3">
      <c r="A55" s="1"/>
      <c r="B55" s="14"/>
    </row>
    <row r="56" spans="1:2" ht="15.75" customHeight="1" x14ac:dyDescent="0.3">
      <c r="A56" s="1"/>
      <c r="B56" s="14"/>
    </row>
    <row r="57" spans="1:2" ht="15.75" customHeight="1" x14ac:dyDescent="0.3">
      <c r="A57" s="1"/>
      <c r="B57" s="14"/>
    </row>
    <row r="58" spans="1:2" ht="15.75" customHeight="1" x14ac:dyDescent="0.3">
      <c r="A58" s="1"/>
      <c r="B58" s="14"/>
    </row>
    <row r="59" spans="1:2" ht="15.75" customHeight="1" x14ac:dyDescent="0.3">
      <c r="A59" s="1"/>
      <c r="B59" s="14"/>
    </row>
    <row r="60" spans="1:2" ht="15.75" customHeight="1" x14ac:dyDescent="0.3">
      <c r="A60" s="1"/>
      <c r="B60" s="14"/>
    </row>
    <row r="61" spans="1:2" ht="15.75" customHeight="1" x14ac:dyDescent="0.3">
      <c r="A61" s="1"/>
      <c r="B61" s="14"/>
    </row>
    <row r="62" spans="1:2" ht="15.75" customHeight="1" x14ac:dyDescent="0.3">
      <c r="A62" s="1"/>
      <c r="B62" s="14"/>
    </row>
    <row r="63" spans="1:2" ht="15.75" customHeight="1" x14ac:dyDescent="0.3">
      <c r="A63" s="1"/>
      <c r="B63" s="14"/>
    </row>
    <row r="64" spans="1:2" ht="15.75" customHeight="1" x14ac:dyDescent="0.3">
      <c r="A64" s="1"/>
      <c r="B64" s="14"/>
    </row>
    <row r="65" spans="1:2" ht="15.75" customHeight="1" x14ac:dyDescent="0.3">
      <c r="A65" s="1"/>
      <c r="B65" s="14"/>
    </row>
    <row r="66" spans="1:2" ht="15.75" customHeight="1" x14ac:dyDescent="0.3">
      <c r="A66" s="1"/>
      <c r="B66" s="14"/>
    </row>
    <row r="67" spans="1:2" ht="15.75" customHeight="1" x14ac:dyDescent="0.3">
      <c r="A67" s="1"/>
      <c r="B67" s="14"/>
    </row>
    <row r="68" spans="1:2" ht="15.75" customHeight="1" x14ac:dyDescent="0.3">
      <c r="A68" s="1"/>
      <c r="B68" s="14"/>
    </row>
    <row r="69" spans="1:2" ht="15.75" customHeight="1" x14ac:dyDescent="0.3">
      <c r="A69" s="1"/>
      <c r="B69" s="14"/>
    </row>
    <row r="70" spans="1:2" ht="15.75" customHeight="1" x14ac:dyDescent="0.3">
      <c r="A70" s="1"/>
      <c r="B70" s="14"/>
    </row>
    <row r="71" spans="1:2" ht="15.75" customHeight="1" x14ac:dyDescent="0.3">
      <c r="A71" s="1"/>
      <c r="B71" s="14"/>
    </row>
    <row r="72" spans="1:2" ht="15.75" customHeight="1" x14ac:dyDescent="0.3">
      <c r="A72" s="1"/>
      <c r="B72" s="14"/>
    </row>
    <row r="73" spans="1:2" ht="15.75" customHeight="1" x14ac:dyDescent="0.3">
      <c r="A73" s="1"/>
      <c r="B73" s="14"/>
    </row>
    <row r="74" spans="1:2" ht="15.75" customHeight="1" x14ac:dyDescent="0.3">
      <c r="A74" s="1"/>
      <c r="B74" s="14"/>
    </row>
    <row r="75" spans="1:2" ht="15.75" customHeight="1" x14ac:dyDescent="0.3">
      <c r="A75" s="1"/>
      <c r="B75" s="14"/>
    </row>
    <row r="76" spans="1:2" ht="15.75" customHeight="1" x14ac:dyDescent="0.3">
      <c r="A76" s="1"/>
      <c r="B76" s="14"/>
    </row>
    <row r="77" spans="1:2" ht="15.75" customHeight="1" x14ac:dyDescent="0.3">
      <c r="A77" s="1"/>
      <c r="B77" s="14"/>
    </row>
    <row r="78" spans="1:2" ht="15.75" customHeight="1" x14ac:dyDescent="0.3">
      <c r="A78" s="1"/>
      <c r="B78" s="14"/>
    </row>
    <row r="79" spans="1:2" ht="15.75" customHeight="1" x14ac:dyDescent="0.3">
      <c r="A79" s="1"/>
      <c r="B79" s="14"/>
    </row>
    <row r="80" spans="1:2" ht="15.75" customHeight="1" x14ac:dyDescent="0.3">
      <c r="A80" s="1"/>
      <c r="B80" s="14"/>
    </row>
    <row r="81" spans="1:2" ht="15.75" customHeight="1" x14ac:dyDescent="0.3">
      <c r="A81" s="1"/>
      <c r="B81" s="14"/>
    </row>
    <row r="82" spans="1:2" ht="15.75" customHeight="1" x14ac:dyDescent="0.3">
      <c r="A82" s="1"/>
      <c r="B82" s="14"/>
    </row>
    <row r="83" spans="1:2" ht="15.75" customHeight="1" x14ac:dyDescent="0.3">
      <c r="A83" s="1"/>
      <c r="B83" s="14"/>
    </row>
    <row r="84" spans="1:2" ht="15.75" customHeight="1" x14ac:dyDescent="0.3">
      <c r="A84" s="1"/>
      <c r="B84" s="14"/>
    </row>
    <row r="85" spans="1:2" ht="15.75" customHeight="1" x14ac:dyDescent="0.3">
      <c r="A85" s="1"/>
      <c r="B85" s="14"/>
    </row>
    <row r="86" spans="1:2" ht="15.75" customHeight="1" x14ac:dyDescent="0.3">
      <c r="A86" s="1"/>
      <c r="B86" s="14"/>
    </row>
    <row r="87" spans="1:2" ht="15.75" customHeight="1" x14ac:dyDescent="0.3">
      <c r="A87" s="1"/>
      <c r="B87" s="14"/>
    </row>
    <row r="88" spans="1:2" ht="15.75" customHeight="1" x14ac:dyDescent="0.3">
      <c r="A88" s="1"/>
      <c r="B88" s="14"/>
    </row>
    <row r="89" spans="1:2" ht="15.75" customHeight="1" x14ac:dyDescent="0.3">
      <c r="A89" s="1"/>
      <c r="B89" s="14"/>
    </row>
    <row r="90" spans="1:2" ht="15.75" customHeight="1" x14ac:dyDescent="0.3">
      <c r="A90" s="1"/>
      <c r="B90" s="14"/>
    </row>
    <row r="91" spans="1:2" ht="15.75" customHeight="1" x14ac:dyDescent="0.3">
      <c r="A91" s="1"/>
      <c r="B91" s="14"/>
    </row>
    <row r="92" spans="1:2" ht="15.75" customHeight="1" x14ac:dyDescent="0.3">
      <c r="A92" s="1"/>
      <c r="B92" s="14"/>
    </row>
    <row r="93" spans="1:2" ht="15.75" customHeight="1" x14ac:dyDescent="0.3">
      <c r="A93" s="1"/>
      <c r="B93" s="14"/>
    </row>
    <row r="94" spans="1:2" ht="15.75" customHeight="1" x14ac:dyDescent="0.3">
      <c r="A94" s="1"/>
      <c r="B94" s="14"/>
    </row>
    <row r="95" spans="1:2" ht="15.75" customHeight="1" x14ac:dyDescent="0.3">
      <c r="A95" s="1"/>
      <c r="B95" s="14"/>
    </row>
    <row r="96" spans="1:2" ht="15.75" customHeight="1" x14ac:dyDescent="0.3">
      <c r="A96" s="1"/>
      <c r="B96" s="14"/>
    </row>
    <row r="97" spans="1:2" ht="15.75" customHeight="1" x14ac:dyDescent="0.3">
      <c r="A97" s="1"/>
      <c r="B97" s="14"/>
    </row>
    <row r="98" spans="1:2" ht="15.75" customHeight="1" x14ac:dyDescent="0.3">
      <c r="A98" s="1"/>
      <c r="B98" s="14"/>
    </row>
    <row r="99" spans="1:2" ht="15.75" customHeight="1" x14ac:dyDescent="0.3">
      <c r="A99" s="1"/>
      <c r="B99" s="14"/>
    </row>
    <row r="100" spans="1:2" ht="15.75" customHeight="1" x14ac:dyDescent="0.3">
      <c r="A100" s="1"/>
      <c r="B100" s="14"/>
    </row>
    <row r="101" spans="1:2" ht="15.75" customHeight="1" x14ac:dyDescent="0.3">
      <c r="A101" s="1"/>
      <c r="B101" s="14"/>
    </row>
    <row r="102" spans="1:2" ht="15.75" customHeight="1" x14ac:dyDescent="0.3">
      <c r="A102" s="1"/>
      <c r="B102" s="14"/>
    </row>
    <row r="103" spans="1:2" ht="15.75" customHeight="1" x14ac:dyDescent="0.3">
      <c r="A103" s="1"/>
      <c r="B103" s="14"/>
    </row>
    <row r="104" spans="1:2" ht="15.75" customHeight="1" x14ac:dyDescent="0.3">
      <c r="A104" s="1"/>
      <c r="B104" s="14"/>
    </row>
    <row r="105" spans="1:2" ht="15.75" customHeight="1" x14ac:dyDescent="0.3">
      <c r="A105" s="1"/>
      <c r="B105" s="14"/>
    </row>
    <row r="106" spans="1:2" ht="15.75" customHeight="1" x14ac:dyDescent="0.3">
      <c r="A106" s="1"/>
      <c r="B106" s="14"/>
    </row>
    <row r="107" spans="1:2" ht="15.75" customHeight="1" x14ac:dyDescent="0.3">
      <c r="A107" s="1"/>
      <c r="B107" s="14"/>
    </row>
    <row r="108" spans="1:2" ht="15.75" customHeight="1" x14ac:dyDescent="0.3">
      <c r="A108" s="1"/>
      <c r="B108" s="14"/>
    </row>
    <row r="109" spans="1:2" ht="15.75" customHeight="1" x14ac:dyDescent="0.3">
      <c r="A109" s="1"/>
      <c r="B109" s="14"/>
    </row>
    <row r="110" spans="1:2" ht="15.75" customHeight="1" x14ac:dyDescent="0.3">
      <c r="A110" s="1"/>
      <c r="B110" s="14"/>
    </row>
    <row r="111" spans="1:2" ht="15.75" customHeight="1" x14ac:dyDescent="0.3">
      <c r="A111" s="1"/>
      <c r="B111" s="14"/>
    </row>
    <row r="112" spans="1:2" ht="15.75" customHeight="1" x14ac:dyDescent="0.3">
      <c r="A112" s="1"/>
      <c r="B112" s="14"/>
    </row>
    <row r="113" spans="1:2" ht="15.75" customHeight="1" x14ac:dyDescent="0.3">
      <c r="A113" s="1"/>
      <c r="B113" s="14"/>
    </row>
    <row r="114" spans="1:2" ht="15.75" customHeight="1" x14ac:dyDescent="0.3">
      <c r="A114" s="1"/>
      <c r="B114" s="14"/>
    </row>
    <row r="115" spans="1:2" ht="15.75" customHeight="1" x14ac:dyDescent="0.3">
      <c r="A115" s="1"/>
      <c r="B115" s="14"/>
    </row>
    <row r="116" spans="1:2" ht="15.75" customHeight="1" x14ac:dyDescent="0.3">
      <c r="A116" s="1"/>
      <c r="B116" s="14"/>
    </row>
    <row r="117" spans="1:2" ht="15.75" customHeight="1" x14ac:dyDescent="0.3">
      <c r="A117" s="1"/>
      <c r="B117" s="14"/>
    </row>
    <row r="118" spans="1:2" ht="15.75" customHeight="1" x14ac:dyDescent="0.3">
      <c r="A118" s="1"/>
      <c r="B118" s="14"/>
    </row>
    <row r="119" spans="1:2" ht="15.75" customHeight="1" x14ac:dyDescent="0.3">
      <c r="A119" s="1"/>
      <c r="B119" s="14"/>
    </row>
    <row r="120" spans="1:2" ht="15.75" customHeight="1" x14ac:dyDescent="0.3">
      <c r="A120" s="1"/>
      <c r="B120" s="14"/>
    </row>
    <row r="121" spans="1:2" ht="15.75" customHeight="1" x14ac:dyDescent="0.3">
      <c r="A121" s="1"/>
      <c r="B121" s="14"/>
    </row>
    <row r="122" spans="1:2" ht="15.75" customHeight="1" x14ac:dyDescent="0.3">
      <c r="A122" s="1"/>
      <c r="B122" s="14"/>
    </row>
    <row r="123" spans="1:2" ht="15.75" customHeight="1" x14ac:dyDescent="0.3">
      <c r="A123" s="1"/>
      <c r="B123" s="14"/>
    </row>
    <row r="124" spans="1:2" ht="15.75" customHeight="1" x14ac:dyDescent="0.3">
      <c r="A124" s="1"/>
      <c r="B124" s="14"/>
    </row>
    <row r="125" spans="1:2" ht="15.75" customHeight="1" x14ac:dyDescent="0.3">
      <c r="A125" s="1"/>
      <c r="B125" s="14"/>
    </row>
    <row r="126" spans="1:2" ht="15.75" customHeight="1" x14ac:dyDescent="0.3">
      <c r="A126" s="1"/>
      <c r="B126" s="14"/>
    </row>
    <row r="127" spans="1:2" ht="15.75" customHeight="1" x14ac:dyDescent="0.3">
      <c r="A127" s="1"/>
      <c r="B127" s="14"/>
    </row>
    <row r="128" spans="1:2" ht="15.75" customHeight="1" x14ac:dyDescent="0.3">
      <c r="A128" s="1"/>
      <c r="B128" s="14"/>
    </row>
    <row r="129" spans="1:2" ht="15.75" customHeight="1" x14ac:dyDescent="0.3">
      <c r="A129" s="1"/>
      <c r="B129" s="14"/>
    </row>
    <row r="130" spans="1:2" ht="15.75" customHeight="1" x14ac:dyDescent="0.3">
      <c r="A130" s="1"/>
      <c r="B130" s="14"/>
    </row>
    <row r="131" spans="1:2" ht="15.75" customHeight="1" x14ac:dyDescent="0.3">
      <c r="A131" s="1"/>
      <c r="B131" s="14"/>
    </row>
    <row r="132" spans="1:2" ht="15.75" customHeight="1" x14ac:dyDescent="0.3">
      <c r="A132" s="1"/>
      <c r="B132" s="14"/>
    </row>
    <row r="133" spans="1:2" ht="15.75" customHeight="1" x14ac:dyDescent="0.3">
      <c r="A133" s="1"/>
      <c r="B133" s="14"/>
    </row>
    <row r="134" spans="1:2" ht="15.75" customHeight="1" x14ac:dyDescent="0.3">
      <c r="A134" s="1"/>
      <c r="B134" s="14"/>
    </row>
    <row r="135" spans="1:2" ht="15.75" customHeight="1" x14ac:dyDescent="0.3">
      <c r="A135" s="1"/>
      <c r="B135" s="14"/>
    </row>
    <row r="136" spans="1:2" ht="15.75" customHeight="1" x14ac:dyDescent="0.3">
      <c r="A136" s="1"/>
      <c r="B136" s="14"/>
    </row>
    <row r="137" spans="1:2" ht="15.75" customHeight="1" x14ac:dyDescent="0.3">
      <c r="A137" s="1"/>
      <c r="B137" s="14"/>
    </row>
    <row r="138" spans="1:2" ht="15.75" customHeight="1" x14ac:dyDescent="0.3">
      <c r="A138" s="1"/>
      <c r="B138" s="14"/>
    </row>
    <row r="139" spans="1:2" ht="15.75" customHeight="1" x14ac:dyDescent="0.3">
      <c r="A139" s="1"/>
      <c r="B139" s="14"/>
    </row>
    <row r="140" spans="1:2" ht="15.75" customHeight="1" x14ac:dyDescent="0.3">
      <c r="A140" s="1"/>
      <c r="B140" s="14"/>
    </row>
    <row r="141" spans="1:2" ht="15.75" customHeight="1" x14ac:dyDescent="0.3">
      <c r="A141" s="1"/>
      <c r="B141" s="14"/>
    </row>
    <row r="142" spans="1:2" ht="15.75" customHeight="1" x14ac:dyDescent="0.3">
      <c r="A142" s="1"/>
      <c r="B142" s="14"/>
    </row>
    <row r="143" spans="1:2" ht="15.75" customHeight="1" x14ac:dyDescent="0.3">
      <c r="A143" s="1"/>
      <c r="B143" s="14"/>
    </row>
    <row r="144" spans="1:2" ht="15.75" customHeight="1" x14ac:dyDescent="0.3">
      <c r="A144" s="1"/>
      <c r="B144" s="14"/>
    </row>
    <row r="145" spans="1:2" ht="15.75" customHeight="1" x14ac:dyDescent="0.3">
      <c r="A145" s="1"/>
      <c r="B145" s="14"/>
    </row>
    <row r="146" spans="1:2" ht="15.75" customHeight="1" x14ac:dyDescent="0.3">
      <c r="A146" s="1"/>
      <c r="B146" s="14"/>
    </row>
    <row r="147" spans="1:2" ht="15.75" customHeight="1" x14ac:dyDescent="0.3">
      <c r="A147" s="1"/>
      <c r="B147" s="14"/>
    </row>
    <row r="148" spans="1:2" ht="15.75" customHeight="1" x14ac:dyDescent="0.3">
      <c r="A148" s="1"/>
      <c r="B148" s="14"/>
    </row>
    <row r="149" spans="1:2" ht="15.75" customHeight="1" x14ac:dyDescent="0.3">
      <c r="A149" s="1"/>
      <c r="B149" s="14"/>
    </row>
    <row r="150" spans="1:2" ht="15.75" customHeight="1" x14ac:dyDescent="0.3">
      <c r="A150" s="1"/>
      <c r="B150" s="14"/>
    </row>
    <row r="151" spans="1:2" ht="15.75" customHeight="1" x14ac:dyDescent="0.3">
      <c r="A151" s="1"/>
      <c r="B151" s="14"/>
    </row>
    <row r="152" spans="1:2" ht="15.75" customHeight="1" x14ac:dyDescent="0.3">
      <c r="A152" s="1"/>
      <c r="B152" s="14"/>
    </row>
    <row r="153" spans="1:2" ht="15.75" customHeight="1" x14ac:dyDescent="0.3">
      <c r="A153" s="1"/>
      <c r="B153" s="14"/>
    </row>
    <row r="154" spans="1:2" ht="15.75" customHeight="1" x14ac:dyDescent="0.3">
      <c r="A154" s="1"/>
      <c r="B154" s="14"/>
    </row>
    <row r="155" spans="1:2" ht="15.75" customHeight="1" x14ac:dyDescent="0.3">
      <c r="A155" s="1"/>
      <c r="B155" s="14"/>
    </row>
    <row r="156" spans="1:2" ht="15.75" customHeight="1" x14ac:dyDescent="0.3">
      <c r="A156" s="1"/>
      <c r="B156" s="14"/>
    </row>
    <row r="157" spans="1:2" ht="15.75" customHeight="1" x14ac:dyDescent="0.3">
      <c r="A157" s="1"/>
      <c r="B157" s="14"/>
    </row>
    <row r="158" spans="1:2" ht="15.75" customHeight="1" x14ac:dyDescent="0.3">
      <c r="A158" s="1"/>
      <c r="B158" s="14"/>
    </row>
    <row r="159" spans="1:2" ht="15.75" customHeight="1" x14ac:dyDescent="0.3">
      <c r="A159" s="1"/>
      <c r="B159" s="14"/>
    </row>
    <row r="160" spans="1:2" ht="15.75" customHeight="1" x14ac:dyDescent="0.3">
      <c r="A160" s="1"/>
      <c r="B160" s="14"/>
    </row>
    <row r="161" spans="1:2" ht="15.75" customHeight="1" x14ac:dyDescent="0.3">
      <c r="A161" s="1"/>
      <c r="B161" s="14"/>
    </row>
    <row r="162" spans="1:2" ht="15.75" customHeight="1" x14ac:dyDescent="0.3">
      <c r="A162" s="1"/>
      <c r="B162" s="14"/>
    </row>
    <row r="163" spans="1:2" ht="15.75" customHeight="1" x14ac:dyDescent="0.3">
      <c r="A163" s="1"/>
      <c r="B163" s="14"/>
    </row>
    <row r="164" spans="1:2" ht="15.75" customHeight="1" x14ac:dyDescent="0.3">
      <c r="A164" s="1"/>
      <c r="B164" s="14"/>
    </row>
    <row r="165" spans="1:2" ht="15.75" customHeight="1" x14ac:dyDescent="0.3">
      <c r="A165" s="1"/>
      <c r="B165" s="14"/>
    </row>
    <row r="166" spans="1:2" ht="15.75" customHeight="1" x14ac:dyDescent="0.3">
      <c r="A166" s="1"/>
      <c r="B166" s="14"/>
    </row>
    <row r="167" spans="1:2" ht="15.75" customHeight="1" x14ac:dyDescent="0.3">
      <c r="A167" s="1"/>
      <c r="B167" s="14"/>
    </row>
    <row r="168" spans="1:2" ht="15.75" customHeight="1" x14ac:dyDescent="0.3">
      <c r="A168" s="1"/>
      <c r="B168" s="14"/>
    </row>
    <row r="169" spans="1:2" ht="15.75" customHeight="1" x14ac:dyDescent="0.3">
      <c r="A169" s="1"/>
      <c r="B169" s="14"/>
    </row>
    <row r="170" spans="1:2" ht="15.75" customHeight="1" x14ac:dyDescent="0.3">
      <c r="A170" s="1"/>
      <c r="B170" s="14"/>
    </row>
    <row r="171" spans="1:2" ht="15.75" customHeight="1" x14ac:dyDescent="0.3">
      <c r="A171" s="1"/>
      <c r="B171" s="14"/>
    </row>
    <row r="172" spans="1:2" ht="15.75" customHeight="1" x14ac:dyDescent="0.3">
      <c r="A172" s="1"/>
      <c r="B172" s="14"/>
    </row>
    <row r="173" spans="1:2" ht="15.75" customHeight="1" x14ac:dyDescent="0.3">
      <c r="A173" s="1"/>
      <c r="B173" s="14"/>
    </row>
    <row r="174" spans="1:2" ht="15.75" customHeight="1" x14ac:dyDescent="0.3">
      <c r="A174" s="1"/>
      <c r="B174" s="14"/>
    </row>
    <row r="175" spans="1:2" ht="15.75" customHeight="1" x14ac:dyDescent="0.3">
      <c r="A175" s="1"/>
      <c r="B175" s="14"/>
    </row>
    <row r="176" spans="1:2" ht="15.75" customHeight="1" x14ac:dyDescent="0.3">
      <c r="A176" s="1"/>
      <c r="B176" s="14"/>
    </row>
    <row r="177" spans="1:2" ht="15.75" customHeight="1" x14ac:dyDescent="0.3">
      <c r="A177" s="1"/>
      <c r="B177" s="14"/>
    </row>
    <row r="178" spans="1:2" ht="15.75" customHeight="1" x14ac:dyDescent="0.3">
      <c r="A178" s="1"/>
      <c r="B178" s="14"/>
    </row>
    <row r="179" spans="1:2" ht="15.75" customHeight="1" x14ac:dyDescent="0.3">
      <c r="A179" s="1"/>
      <c r="B179" s="14"/>
    </row>
    <row r="180" spans="1:2" ht="15.75" customHeight="1" x14ac:dyDescent="0.3">
      <c r="A180" s="1"/>
      <c r="B180" s="14"/>
    </row>
    <row r="181" spans="1:2" ht="15.75" customHeight="1" x14ac:dyDescent="0.3">
      <c r="A181" s="1"/>
      <c r="B181" s="14"/>
    </row>
    <row r="182" spans="1:2" ht="15.75" customHeight="1" x14ac:dyDescent="0.3">
      <c r="A182" s="1"/>
      <c r="B182" s="14"/>
    </row>
    <row r="183" spans="1:2" ht="15.75" customHeight="1" x14ac:dyDescent="0.3">
      <c r="A183" s="1"/>
      <c r="B183" s="14"/>
    </row>
    <row r="184" spans="1:2" ht="15.75" customHeight="1" x14ac:dyDescent="0.3">
      <c r="A184" s="1"/>
      <c r="B184" s="14"/>
    </row>
    <row r="185" spans="1:2" ht="15.75" customHeight="1" x14ac:dyDescent="0.3">
      <c r="A185" s="1"/>
      <c r="B185" s="14"/>
    </row>
    <row r="186" spans="1:2" ht="15.75" customHeight="1" x14ac:dyDescent="0.3">
      <c r="A186" s="1"/>
      <c r="B186" s="14"/>
    </row>
    <row r="187" spans="1:2" ht="15.75" customHeight="1" x14ac:dyDescent="0.3">
      <c r="A187" s="1"/>
      <c r="B187" s="14"/>
    </row>
    <row r="188" spans="1:2" ht="15.75" customHeight="1" x14ac:dyDescent="0.3">
      <c r="A188" s="1"/>
      <c r="B188" s="14"/>
    </row>
    <row r="189" spans="1:2" ht="15.75" customHeight="1" x14ac:dyDescent="0.3">
      <c r="A189" s="1"/>
      <c r="B189" s="14"/>
    </row>
    <row r="190" spans="1:2" ht="15.75" customHeight="1" x14ac:dyDescent="0.3">
      <c r="A190" s="1"/>
      <c r="B190" s="14"/>
    </row>
    <row r="191" spans="1:2" ht="15.75" customHeight="1" x14ac:dyDescent="0.3">
      <c r="A191" s="1"/>
      <c r="B191" s="14"/>
    </row>
    <row r="192" spans="1:2" ht="15.75" customHeight="1" x14ac:dyDescent="0.3">
      <c r="A192" s="1"/>
      <c r="B192" s="14"/>
    </row>
    <row r="193" spans="1:2" ht="15.75" customHeight="1" x14ac:dyDescent="0.3">
      <c r="A193" s="1"/>
      <c r="B193" s="14"/>
    </row>
    <row r="194" spans="1:2" ht="15.75" customHeight="1" x14ac:dyDescent="0.3">
      <c r="A194" s="1"/>
      <c r="B194" s="14"/>
    </row>
    <row r="195" spans="1:2" ht="15.75" customHeight="1" x14ac:dyDescent="0.3">
      <c r="A195" s="1"/>
      <c r="B195" s="14"/>
    </row>
    <row r="196" spans="1:2" ht="15.75" customHeight="1" x14ac:dyDescent="0.3">
      <c r="A196" s="1"/>
      <c r="B196" s="14"/>
    </row>
    <row r="197" spans="1:2" ht="15.75" customHeight="1" x14ac:dyDescent="0.3">
      <c r="A197" s="1"/>
      <c r="B197" s="14"/>
    </row>
    <row r="198" spans="1:2" ht="15.75" customHeight="1" x14ac:dyDescent="0.3">
      <c r="A198" s="1"/>
      <c r="B198" s="14"/>
    </row>
    <row r="199" spans="1:2" ht="15.75" customHeight="1" x14ac:dyDescent="0.3">
      <c r="A199" s="1"/>
      <c r="B199" s="14"/>
    </row>
    <row r="200" spans="1:2" ht="15.75" customHeight="1" x14ac:dyDescent="0.3">
      <c r="A200" s="1"/>
      <c r="B200" s="14"/>
    </row>
    <row r="201" spans="1:2" ht="15.75" customHeight="1" x14ac:dyDescent="0.3">
      <c r="A201" s="1"/>
      <c r="B201" s="14"/>
    </row>
    <row r="202" spans="1:2" ht="15.75" customHeight="1" x14ac:dyDescent="0.3">
      <c r="A202" s="1"/>
      <c r="B202" s="14"/>
    </row>
    <row r="203" spans="1:2" ht="15.75" customHeight="1" x14ac:dyDescent="0.3">
      <c r="A203" s="1"/>
      <c r="B203" s="14"/>
    </row>
    <row r="204" spans="1:2" ht="15.75" customHeight="1" x14ac:dyDescent="0.3">
      <c r="A204" s="1"/>
      <c r="B204" s="14"/>
    </row>
    <row r="205" spans="1:2" ht="15.75" customHeight="1" x14ac:dyDescent="0.3">
      <c r="A205" s="1"/>
      <c r="B205" s="14"/>
    </row>
    <row r="206" spans="1:2" ht="15.75" customHeight="1" x14ac:dyDescent="0.3">
      <c r="A206" s="1"/>
      <c r="B206" s="14"/>
    </row>
    <row r="207" spans="1:2" ht="15.75" customHeight="1" x14ac:dyDescent="0.3">
      <c r="A207" s="1"/>
      <c r="B207" s="14"/>
    </row>
    <row r="208" spans="1:2" ht="15.75" customHeight="1" x14ac:dyDescent="0.3">
      <c r="A208" s="1"/>
      <c r="B208" s="14"/>
    </row>
    <row r="209" spans="1:2" ht="15.75" customHeight="1" x14ac:dyDescent="0.3">
      <c r="A209" s="1"/>
      <c r="B209" s="14"/>
    </row>
    <row r="210" spans="1:2" ht="15.75" customHeight="1" x14ac:dyDescent="0.3">
      <c r="A210" s="1"/>
      <c r="B210" s="14"/>
    </row>
    <row r="211" spans="1:2" ht="15.75" customHeight="1" x14ac:dyDescent="0.3">
      <c r="A211" s="1"/>
      <c r="B211" s="14"/>
    </row>
    <row r="212" spans="1:2" ht="15.75" customHeight="1" x14ac:dyDescent="0.3">
      <c r="A212" s="1"/>
      <c r="B212" s="14"/>
    </row>
    <row r="213" spans="1:2" ht="15.75" customHeight="1" x14ac:dyDescent="0.3">
      <c r="A213" s="1"/>
      <c r="B213" s="14"/>
    </row>
    <row r="214" spans="1:2" ht="15.75" customHeight="1" x14ac:dyDescent="0.3">
      <c r="A214" s="1"/>
      <c r="B214" s="14"/>
    </row>
    <row r="215" spans="1:2" ht="15.75" customHeight="1" x14ac:dyDescent="0.3">
      <c r="A215" s="1"/>
      <c r="B215" s="14"/>
    </row>
    <row r="216" spans="1:2" ht="15.75" customHeight="1" x14ac:dyDescent="0.3">
      <c r="A216" s="1"/>
      <c r="B216" s="14"/>
    </row>
    <row r="217" spans="1:2" ht="15.75" customHeight="1" x14ac:dyDescent="0.3">
      <c r="A217" s="1"/>
      <c r="B217" s="14"/>
    </row>
    <row r="218" spans="1:2" ht="15.75" customHeight="1" x14ac:dyDescent="0.3">
      <c r="A218" s="1"/>
      <c r="B218" s="14"/>
    </row>
    <row r="219" spans="1:2" ht="15.75" customHeight="1" x14ac:dyDescent="0.3">
      <c r="A219" s="1"/>
      <c r="B219" s="14"/>
    </row>
    <row r="220" spans="1:2" ht="15.75" customHeight="1" x14ac:dyDescent="0.3">
      <c r="A220" s="1"/>
      <c r="B220" s="14"/>
    </row>
    <row r="221" spans="1:2" ht="15.75" customHeight="1" x14ac:dyDescent="0.3">
      <c r="A221" s="1"/>
      <c r="B221" s="14"/>
    </row>
    <row r="222" spans="1:2" ht="15.75" customHeight="1" x14ac:dyDescent="0.3">
      <c r="A222" s="1"/>
      <c r="B222" s="14"/>
    </row>
    <row r="223" spans="1:2" ht="15.75" customHeight="1" x14ac:dyDescent="0.3">
      <c r="A223" s="1"/>
      <c r="B223" s="14"/>
    </row>
    <row r="224" spans="1:2" ht="15.75" customHeight="1" x14ac:dyDescent="0.3">
      <c r="A224" s="1"/>
      <c r="B224" s="14"/>
    </row>
    <row r="225" spans="1:2" ht="15.75" customHeight="1" x14ac:dyDescent="0.3">
      <c r="A225" s="1"/>
      <c r="B225" s="14"/>
    </row>
    <row r="226" spans="1:2" ht="15.75" customHeight="1" x14ac:dyDescent="0.3">
      <c r="A226" s="1"/>
      <c r="B226" s="14"/>
    </row>
    <row r="227" spans="1:2" ht="15.75" customHeight="1" x14ac:dyDescent="0.3">
      <c r="A227" s="1"/>
      <c r="B227" s="14"/>
    </row>
    <row r="228" spans="1:2" ht="15.75" customHeight="1" x14ac:dyDescent="0.3">
      <c r="A228" s="1"/>
      <c r="B228" s="14"/>
    </row>
    <row r="229" spans="1:2" ht="15.75" customHeight="1" x14ac:dyDescent="0.3">
      <c r="A229" s="1"/>
      <c r="B229" s="14"/>
    </row>
    <row r="230" spans="1:2" ht="15.75" customHeight="1" x14ac:dyDescent="0.3">
      <c r="A230" s="1"/>
      <c r="B230" s="14"/>
    </row>
    <row r="231" spans="1:2" ht="15.75" customHeight="1" x14ac:dyDescent="0.3">
      <c r="A231" s="1"/>
      <c r="B231" s="14"/>
    </row>
    <row r="232" spans="1:2" ht="15.75" customHeight="1" x14ac:dyDescent="0.3">
      <c r="A232" s="1"/>
      <c r="B232" s="14"/>
    </row>
    <row r="233" spans="1:2" ht="15.75" customHeight="1" x14ac:dyDescent="0.3">
      <c r="A233" s="1"/>
      <c r="B233" s="14"/>
    </row>
    <row r="234" spans="1:2" ht="15.75" customHeight="1" x14ac:dyDescent="0.3">
      <c r="A234" s="1"/>
      <c r="B234" s="14"/>
    </row>
    <row r="235" spans="1:2" ht="15.75" customHeight="1" x14ac:dyDescent="0.3">
      <c r="A235" s="1"/>
      <c r="B235" s="14"/>
    </row>
    <row r="236" spans="1:2" ht="15.75" customHeight="1" x14ac:dyDescent="0.3">
      <c r="A236" s="1"/>
      <c r="B236" s="14"/>
    </row>
    <row r="237" spans="1:2" ht="15.75" customHeight="1" x14ac:dyDescent="0.3">
      <c r="A237" s="1"/>
      <c r="B237" s="14"/>
    </row>
    <row r="238" spans="1:2" ht="15.75" customHeight="1" x14ac:dyDescent="0.3">
      <c r="A238" s="1"/>
      <c r="B238" s="14"/>
    </row>
    <row r="239" spans="1:2" ht="15.75" customHeight="1" x14ac:dyDescent="0.3">
      <c r="A239" s="1"/>
      <c r="B239" s="14"/>
    </row>
    <row r="240" spans="1:2" ht="15.75" customHeight="1" x14ac:dyDescent="0.3">
      <c r="A240" s="1"/>
      <c r="B240" s="14"/>
    </row>
    <row r="241" spans="1:2" ht="15.75" customHeight="1" x14ac:dyDescent="0.3">
      <c r="A241" s="1"/>
      <c r="B241" s="14"/>
    </row>
    <row r="242" spans="1:2" ht="15.75" customHeight="1" x14ac:dyDescent="0.3">
      <c r="A242" s="1"/>
      <c r="B242" s="14"/>
    </row>
    <row r="243" spans="1:2" ht="15.75" customHeight="1" x14ac:dyDescent="0.3">
      <c r="A243" s="1"/>
      <c r="B243" s="14"/>
    </row>
    <row r="244" spans="1:2" ht="15.75" customHeight="1" x14ac:dyDescent="0.3">
      <c r="A244" s="1"/>
      <c r="B244" s="14"/>
    </row>
    <row r="245" spans="1:2" ht="15.75" customHeight="1" x14ac:dyDescent="0.3">
      <c r="A245" s="1"/>
      <c r="B245" s="14"/>
    </row>
    <row r="246" spans="1:2" ht="15.75" customHeight="1" x14ac:dyDescent="0.3">
      <c r="A246" s="1"/>
      <c r="B246" s="14"/>
    </row>
    <row r="247" spans="1:2" ht="15.75" customHeight="1" x14ac:dyDescent="0.3">
      <c r="A247" s="1"/>
      <c r="B247" s="14"/>
    </row>
    <row r="248" spans="1:2" ht="15.75" customHeight="1" x14ac:dyDescent="0.3">
      <c r="A248" s="1"/>
      <c r="B248" s="14"/>
    </row>
    <row r="249" spans="1:2" ht="15.75" customHeight="1" x14ac:dyDescent="0.3">
      <c r="A249" s="1"/>
      <c r="B249" s="14"/>
    </row>
    <row r="250" spans="1:2" ht="15.75" customHeight="1" x14ac:dyDescent="0.3">
      <c r="A250" s="1"/>
      <c r="B250" s="14"/>
    </row>
    <row r="251" spans="1:2" ht="15.75" customHeight="1" x14ac:dyDescent="0.3">
      <c r="A251" s="1"/>
      <c r="B251" s="14"/>
    </row>
    <row r="252" spans="1:2" ht="15.75" customHeight="1" x14ac:dyDescent="0.3">
      <c r="A252" s="1"/>
      <c r="B252" s="14"/>
    </row>
    <row r="253" spans="1:2" ht="15.75" customHeight="1" x14ac:dyDescent="0.3">
      <c r="A253" s="1"/>
      <c r="B253" s="14"/>
    </row>
    <row r="254" spans="1:2" ht="15.75" customHeight="1" x14ac:dyDescent="0.3">
      <c r="A254" s="1"/>
      <c r="B254" s="14"/>
    </row>
    <row r="255" spans="1:2" ht="15.75" customHeight="1" x14ac:dyDescent="0.3">
      <c r="A255" s="1"/>
      <c r="B255" s="14"/>
    </row>
    <row r="256" spans="1:2" ht="15.75" customHeight="1" x14ac:dyDescent="0.3">
      <c r="A256" s="1"/>
      <c r="B256" s="14"/>
    </row>
    <row r="257" spans="1:2" ht="15.75" customHeight="1" x14ac:dyDescent="0.3">
      <c r="A257" s="1"/>
      <c r="B257" s="14"/>
    </row>
    <row r="258" spans="1:2" ht="15.75" customHeight="1" x14ac:dyDescent="0.3">
      <c r="A258" s="1"/>
      <c r="B258" s="14"/>
    </row>
    <row r="259" spans="1:2" ht="15.75" customHeight="1" x14ac:dyDescent="0.3">
      <c r="A259" s="1"/>
      <c r="B259" s="14"/>
    </row>
    <row r="260" spans="1:2" ht="15.75" customHeight="1" x14ac:dyDescent="0.3">
      <c r="A260" s="1"/>
      <c r="B260" s="14"/>
    </row>
    <row r="261" spans="1:2" ht="15.75" customHeight="1" x14ac:dyDescent="0.3">
      <c r="A261" s="1"/>
      <c r="B261" s="14"/>
    </row>
    <row r="262" spans="1:2" ht="15.75" customHeight="1" x14ac:dyDescent="0.3">
      <c r="A262" s="1"/>
      <c r="B262" s="14"/>
    </row>
    <row r="263" spans="1:2" ht="15.75" customHeight="1" x14ac:dyDescent="0.3">
      <c r="A263" s="1"/>
      <c r="B263" s="14"/>
    </row>
    <row r="264" spans="1:2" ht="15.75" customHeight="1" x14ac:dyDescent="0.3">
      <c r="A264" s="1"/>
      <c r="B264" s="14"/>
    </row>
    <row r="265" spans="1:2" ht="15.75" customHeight="1" x14ac:dyDescent="0.3">
      <c r="A265" s="1"/>
      <c r="B265" s="14"/>
    </row>
    <row r="266" spans="1:2" ht="15.75" customHeight="1" x14ac:dyDescent="0.3">
      <c r="A266" s="1"/>
      <c r="B266" s="14"/>
    </row>
    <row r="267" spans="1:2" ht="15.75" customHeight="1" x14ac:dyDescent="0.3">
      <c r="A267" s="1"/>
      <c r="B267" s="14"/>
    </row>
    <row r="268" spans="1:2" ht="15.75" customHeight="1" x14ac:dyDescent="0.3">
      <c r="A268" s="1"/>
      <c r="B268" s="14"/>
    </row>
    <row r="269" spans="1:2" ht="15.75" customHeight="1" x14ac:dyDescent="0.3">
      <c r="A269" s="1"/>
      <c r="B269" s="14"/>
    </row>
    <row r="270" spans="1:2" ht="15.75" customHeight="1" x14ac:dyDescent="0.3">
      <c r="A270" s="1"/>
      <c r="B270" s="14"/>
    </row>
    <row r="271" spans="1:2" ht="15.75" customHeight="1" x14ac:dyDescent="0.3">
      <c r="A271" s="1"/>
      <c r="B271" s="14"/>
    </row>
    <row r="272" spans="1:2" ht="15.75" customHeight="1" x14ac:dyDescent="0.3">
      <c r="A272" s="1"/>
      <c r="B272" s="14"/>
    </row>
    <row r="273" spans="1:2" ht="15.75" customHeight="1" x14ac:dyDescent="0.3">
      <c r="A273" s="1"/>
      <c r="B273" s="14"/>
    </row>
    <row r="274" spans="1:2" ht="15.75" customHeight="1" x14ac:dyDescent="0.3">
      <c r="A274" s="1"/>
      <c r="B274" s="14"/>
    </row>
    <row r="275" spans="1:2" ht="15.75" customHeight="1" x14ac:dyDescent="0.3">
      <c r="A275" s="1"/>
      <c r="B275" s="14"/>
    </row>
    <row r="276" spans="1:2" ht="15.75" customHeight="1" x14ac:dyDescent="0.3">
      <c r="A276" s="1"/>
      <c r="B276" s="14"/>
    </row>
    <row r="277" spans="1:2" ht="15.75" customHeight="1" x14ac:dyDescent="0.3">
      <c r="A277" s="1"/>
      <c r="B277" s="14"/>
    </row>
    <row r="278" spans="1:2" ht="15.75" customHeight="1" x14ac:dyDescent="0.3">
      <c r="A278" s="1"/>
      <c r="B278" s="14"/>
    </row>
    <row r="279" spans="1:2" ht="15.75" customHeight="1" x14ac:dyDescent="0.3">
      <c r="A279" s="1"/>
      <c r="B279" s="14"/>
    </row>
    <row r="280" spans="1:2" ht="15.75" customHeight="1" x14ac:dyDescent="0.3">
      <c r="A280" s="1"/>
      <c r="B280" s="14"/>
    </row>
    <row r="281" spans="1:2" ht="15.75" customHeight="1" x14ac:dyDescent="0.3">
      <c r="A281" s="1"/>
      <c r="B281" s="14"/>
    </row>
    <row r="282" spans="1:2" ht="15.75" customHeight="1" x14ac:dyDescent="0.3">
      <c r="A282" s="1"/>
      <c r="B282" s="14"/>
    </row>
    <row r="283" spans="1:2" ht="15.75" customHeight="1" x14ac:dyDescent="0.3">
      <c r="A283" s="1"/>
      <c r="B283" s="14"/>
    </row>
    <row r="284" spans="1:2" ht="15.75" customHeight="1" x14ac:dyDescent="0.3">
      <c r="A284" s="1"/>
      <c r="B284" s="14"/>
    </row>
    <row r="285" spans="1:2" ht="15.75" customHeight="1" x14ac:dyDescent="0.3">
      <c r="A285" s="1"/>
      <c r="B285" s="14"/>
    </row>
    <row r="286" spans="1:2" ht="15.75" customHeight="1" x14ac:dyDescent="0.3">
      <c r="A286" s="1"/>
      <c r="B286" s="14"/>
    </row>
    <row r="287" spans="1:2" ht="15.75" customHeight="1" x14ac:dyDescent="0.3">
      <c r="A287" s="1"/>
      <c r="B287" s="14"/>
    </row>
    <row r="288" spans="1:2" ht="15.75" customHeight="1" x14ac:dyDescent="0.3">
      <c r="A288" s="1"/>
      <c r="B288" s="14"/>
    </row>
    <row r="289" spans="1:2" ht="15.75" customHeight="1" x14ac:dyDescent="0.3">
      <c r="A289" s="1"/>
      <c r="B289" s="14"/>
    </row>
    <row r="290" spans="1:2" ht="15.75" customHeight="1" x14ac:dyDescent="0.3">
      <c r="A290" s="1"/>
      <c r="B290" s="14"/>
    </row>
    <row r="291" spans="1:2" ht="15.75" customHeight="1" x14ac:dyDescent="0.3">
      <c r="A291" s="1"/>
      <c r="B291" s="14"/>
    </row>
    <row r="292" spans="1:2" ht="15.75" customHeight="1" x14ac:dyDescent="0.3">
      <c r="A292" s="1"/>
      <c r="B292" s="14"/>
    </row>
    <row r="293" spans="1:2" ht="15.75" customHeight="1" x14ac:dyDescent="0.3">
      <c r="A293" s="1"/>
      <c r="B293" s="14"/>
    </row>
    <row r="294" spans="1:2" ht="15.75" customHeight="1" x14ac:dyDescent="0.3">
      <c r="A294" s="1"/>
      <c r="B294" s="14"/>
    </row>
    <row r="295" spans="1:2" ht="15.75" customHeight="1" x14ac:dyDescent="0.3">
      <c r="A295" s="1"/>
      <c r="B295" s="14"/>
    </row>
    <row r="296" spans="1:2" ht="15.75" customHeight="1" x14ac:dyDescent="0.3">
      <c r="A296" s="1"/>
      <c r="B296" s="14"/>
    </row>
    <row r="297" spans="1:2" ht="15.75" customHeight="1" x14ac:dyDescent="0.3">
      <c r="A297" s="1"/>
      <c r="B297" s="14"/>
    </row>
    <row r="298" spans="1:2" ht="15.75" customHeight="1" x14ac:dyDescent="0.3">
      <c r="A298" s="1"/>
      <c r="B298" s="14"/>
    </row>
    <row r="299" spans="1:2" ht="15.75" customHeight="1" x14ac:dyDescent="0.3">
      <c r="A299" s="1"/>
      <c r="B299" s="14"/>
    </row>
    <row r="300" spans="1:2" ht="15.75" customHeight="1" x14ac:dyDescent="0.3">
      <c r="A300" s="1"/>
      <c r="B300" s="14"/>
    </row>
    <row r="301" spans="1:2" ht="15.75" customHeight="1" x14ac:dyDescent="0.3">
      <c r="A301" s="1"/>
      <c r="B301" s="14"/>
    </row>
    <row r="302" spans="1:2" ht="15.75" customHeight="1" x14ac:dyDescent="0.3">
      <c r="A302" s="1"/>
      <c r="B302" s="14"/>
    </row>
    <row r="303" spans="1:2" ht="15.75" customHeight="1" x14ac:dyDescent="0.3">
      <c r="A303" s="1"/>
      <c r="B303" s="14"/>
    </row>
    <row r="304" spans="1:2" ht="15.75" customHeight="1" x14ac:dyDescent="0.3">
      <c r="A304" s="1"/>
      <c r="B304" s="14"/>
    </row>
    <row r="305" spans="1:2" ht="15.75" customHeight="1" x14ac:dyDescent="0.3">
      <c r="A305" s="1"/>
      <c r="B305" s="14"/>
    </row>
    <row r="306" spans="1:2" ht="15.75" customHeight="1" x14ac:dyDescent="0.3">
      <c r="A306" s="1"/>
      <c r="B306" s="14"/>
    </row>
    <row r="307" spans="1:2" ht="15.75" customHeight="1" x14ac:dyDescent="0.3">
      <c r="A307" s="1"/>
      <c r="B307" s="14"/>
    </row>
    <row r="308" spans="1:2" ht="15.75" customHeight="1" x14ac:dyDescent="0.3">
      <c r="A308" s="1"/>
      <c r="B308" s="14"/>
    </row>
    <row r="309" spans="1:2" ht="15.75" customHeight="1" x14ac:dyDescent="0.3">
      <c r="A309" s="1"/>
      <c r="B309" s="14"/>
    </row>
    <row r="310" spans="1:2" ht="15.75" customHeight="1" x14ac:dyDescent="0.3">
      <c r="A310" s="1"/>
      <c r="B310" s="14"/>
    </row>
    <row r="311" spans="1:2" ht="15.75" customHeight="1" x14ac:dyDescent="0.3">
      <c r="A311" s="1"/>
      <c r="B311" s="14"/>
    </row>
    <row r="312" spans="1:2" ht="15.75" customHeight="1" x14ac:dyDescent="0.3">
      <c r="A312" s="1"/>
      <c r="B312" s="14"/>
    </row>
    <row r="313" spans="1:2" ht="15.75" customHeight="1" x14ac:dyDescent="0.3">
      <c r="A313" s="1"/>
      <c r="B313" s="14"/>
    </row>
    <row r="314" spans="1:2" ht="15.75" customHeight="1" x14ac:dyDescent="0.3">
      <c r="A314" s="1"/>
      <c r="B314" s="14"/>
    </row>
    <row r="315" spans="1:2" ht="15.75" customHeight="1" x14ac:dyDescent="0.3">
      <c r="A315" s="1"/>
      <c r="B315" s="14"/>
    </row>
    <row r="316" spans="1:2" ht="15.75" customHeight="1" x14ac:dyDescent="0.3">
      <c r="A316" s="1"/>
      <c r="B316" s="14"/>
    </row>
    <row r="317" spans="1:2" ht="15.75" customHeight="1" x14ac:dyDescent="0.3">
      <c r="A317" s="1"/>
      <c r="B317" s="14"/>
    </row>
    <row r="318" spans="1:2" ht="15.75" customHeight="1" x14ac:dyDescent="0.3">
      <c r="A318" s="1"/>
      <c r="B318" s="14"/>
    </row>
    <row r="319" spans="1:2" ht="15.75" customHeight="1" x14ac:dyDescent="0.3">
      <c r="A319" s="1"/>
      <c r="B319" s="14"/>
    </row>
    <row r="320" spans="1:2" ht="15.75" customHeight="1" x14ac:dyDescent="0.3">
      <c r="A320" s="1"/>
      <c r="B320" s="14"/>
    </row>
    <row r="321" spans="1:2" ht="15.75" customHeight="1" x14ac:dyDescent="0.3">
      <c r="A321" s="1"/>
      <c r="B321" s="14"/>
    </row>
    <row r="322" spans="1:2" ht="15.75" customHeight="1" x14ac:dyDescent="0.3">
      <c r="A322" s="1"/>
      <c r="B322" s="14"/>
    </row>
    <row r="323" spans="1:2" ht="15.75" customHeight="1" x14ac:dyDescent="0.3">
      <c r="A323" s="1"/>
      <c r="B323" s="14"/>
    </row>
    <row r="324" spans="1:2" ht="15.75" customHeight="1" x14ac:dyDescent="0.3">
      <c r="A324" s="1"/>
      <c r="B324" s="14"/>
    </row>
    <row r="325" spans="1:2" ht="15.75" customHeight="1" x14ac:dyDescent="0.3">
      <c r="A325" s="1"/>
      <c r="B325" s="14"/>
    </row>
    <row r="326" spans="1:2" ht="15.75" customHeight="1" x14ac:dyDescent="0.3">
      <c r="A326" s="1"/>
      <c r="B326" s="14"/>
    </row>
    <row r="327" spans="1:2" ht="15.75" customHeight="1" x14ac:dyDescent="0.3">
      <c r="A327" s="1"/>
      <c r="B327" s="14"/>
    </row>
    <row r="328" spans="1:2" ht="15.75" customHeight="1" x14ac:dyDescent="0.3">
      <c r="A328" s="1"/>
      <c r="B328" s="14"/>
    </row>
    <row r="329" spans="1:2" ht="15.75" customHeight="1" x14ac:dyDescent="0.3">
      <c r="A329" s="1"/>
      <c r="B329" s="14"/>
    </row>
    <row r="330" spans="1:2" ht="15.75" customHeight="1" x14ac:dyDescent="0.3">
      <c r="A330" s="1"/>
      <c r="B330" s="14"/>
    </row>
    <row r="331" spans="1:2" ht="15.75" customHeight="1" x14ac:dyDescent="0.3">
      <c r="A331" s="1"/>
      <c r="B331" s="14"/>
    </row>
    <row r="332" spans="1:2" ht="15.75" customHeight="1" x14ac:dyDescent="0.3">
      <c r="A332" s="1"/>
      <c r="B332" s="14"/>
    </row>
    <row r="333" spans="1:2" ht="15.75" customHeight="1" x14ac:dyDescent="0.3">
      <c r="A333" s="1"/>
      <c r="B333" s="14"/>
    </row>
    <row r="334" spans="1:2" ht="15.75" customHeight="1" x14ac:dyDescent="0.3">
      <c r="A334" s="1"/>
      <c r="B334" s="14"/>
    </row>
    <row r="335" spans="1:2" ht="15.75" customHeight="1" x14ac:dyDescent="0.3">
      <c r="A335" s="1"/>
      <c r="B335" s="14"/>
    </row>
    <row r="336" spans="1:2" ht="15.75" customHeight="1" x14ac:dyDescent="0.3">
      <c r="A336" s="1"/>
      <c r="B336" s="14"/>
    </row>
    <row r="337" spans="1:2" ht="15.75" customHeight="1" x14ac:dyDescent="0.3">
      <c r="A337" s="1"/>
      <c r="B337" s="14"/>
    </row>
    <row r="338" spans="1:2" ht="15.75" customHeight="1" x14ac:dyDescent="0.3">
      <c r="A338" s="1"/>
      <c r="B338" s="14"/>
    </row>
    <row r="339" spans="1:2" ht="15.75" customHeight="1" x14ac:dyDescent="0.3">
      <c r="A339" s="1"/>
      <c r="B339" s="14"/>
    </row>
    <row r="340" spans="1:2" ht="15.75" customHeight="1" x14ac:dyDescent="0.3">
      <c r="A340" s="1"/>
      <c r="B340" s="14"/>
    </row>
    <row r="341" spans="1:2" ht="15.75" customHeight="1" x14ac:dyDescent="0.3">
      <c r="A341" s="1"/>
      <c r="B341" s="14"/>
    </row>
    <row r="342" spans="1:2" ht="15.75" customHeight="1" x14ac:dyDescent="0.3">
      <c r="A342" s="1"/>
      <c r="B342" s="14"/>
    </row>
    <row r="343" spans="1:2" ht="15.75" customHeight="1" x14ac:dyDescent="0.3">
      <c r="A343" s="1"/>
      <c r="B343" s="14"/>
    </row>
    <row r="344" spans="1:2" ht="15.75" customHeight="1" x14ac:dyDescent="0.3">
      <c r="A344" s="1"/>
      <c r="B344" s="14"/>
    </row>
    <row r="345" spans="1:2" ht="15.75" customHeight="1" x14ac:dyDescent="0.3">
      <c r="A345" s="1"/>
      <c r="B345" s="14"/>
    </row>
    <row r="346" spans="1:2" ht="15.75" customHeight="1" x14ac:dyDescent="0.3">
      <c r="A346" s="1"/>
      <c r="B346" s="14"/>
    </row>
    <row r="347" spans="1:2" ht="15.75" customHeight="1" x14ac:dyDescent="0.3">
      <c r="A347" s="1"/>
      <c r="B347" s="14"/>
    </row>
    <row r="348" spans="1:2" ht="15.75" customHeight="1" x14ac:dyDescent="0.3">
      <c r="A348" s="1"/>
      <c r="B348" s="14"/>
    </row>
    <row r="349" spans="1:2" ht="15.75" customHeight="1" x14ac:dyDescent="0.3">
      <c r="A349" s="1"/>
      <c r="B349" s="14"/>
    </row>
    <row r="350" spans="1:2" ht="15.75" customHeight="1" x14ac:dyDescent="0.3">
      <c r="A350" s="1"/>
      <c r="B350" s="14"/>
    </row>
    <row r="351" spans="1:2" ht="15.75" customHeight="1" x14ac:dyDescent="0.3">
      <c r="A351" s="1"/>
      <c r="B351" s="14"/>
    </row>
    <row r="352" spans="1:2" ht="15.75" customHeight="1" x14ac:dyDescent="0.3">
      <c r="A352" s="1"/>
      <c r="B352" s="14"/>
    </row>
    <row r="353" spans="1:2" ht="15.75" customHeight="1" x14ac:dyDescent="0.3">
      <c r="A353" s="1"/>
      <c r="B353" s="14"/>
    </row>
    <row r="354" spans="1:2" ht="15.75" customHeight="1" x14ac:dyDescent="0.3">
      <c r="A354" s="1"/>
      <c r="B354" s="14"/>
    </row>
    <row r="355" spans="1:2" ht="15.75" customHeight="1" x14ac:dyDescent="0.3">
      <c r="A355" s="1"/>
      <c r="B355" s="14"/>
    </row>
    <row r="356" spans="1:2" ht="15.75" customHeight="1" x14ac:dyDescent="0.3">
      <c r="A356" s="1"/>
      <c r="B356" s="14"/>
    </row>
    <row r="357" spans="1:2" ht="15.75" customHeight="1" x14ac:dyDescent="0.3">
      <c r="A357" s="1"/>
      <c r="B357" s="14"/>
    </row>
    <row r="358" spans="1:2" ht="15.75" customHeight="1" x14ac:dyDescent="0.3">
      <c r="A358" s="1"/>
      <c r="B358" s="14"/>
    </row>
    <row r="359" spans="1:2" ht="15.75" customHeight="1" x14ac:dyDescent="0.3">
      <c r="A359" s="1"/>
      <c r="B359" s="14"/>
    </row>
    <row r="360" spans="1:2" ht="15.75" customHeight="1" x14ac:dyDescent="0.3">
      <c r="A360" s="1"/>
      <c r="B360" s="14"/>
    </row>
    <row r="361" spans="1:2" ht="15.75" customHeight="1" x14ac:dyDescent="0.3">
      <c r="A361" s="1"/>
      <c r="B361" s="14"/>
    </row>
    <row r="362" spans="1:2" ht="15.75" customHeight="1" x14ac:dyDescent="0.3">
      <c r="A362" s="1"/>
      <c r="B362" s="14"/>
    </row>
    <row r="363" spans="1:2" ht="15.75" customHeight="1" x14ac:dyDescent="0.3">
      <c r="A363" s="1"/>
      <c r="B363" s="14"/>
    </row>
    <row r="364" spans="1:2" ht="15.75" customHeight="1" x14ac:dyDescent="0.3">
      <c r="A364" s="1"/>
      <c r="B364" s="14"/>
    </row>
    <row r="365" spans="1:2" ht="15.75" customHeight="1" x14ac:dyDescent="0.3">
      <c r="A365" s="1"/>
      <c r="B365" s="14"/>
    </row>
    <row r="366" spans="1:2" ht="15.75" customHeight="1" x14ac:dyDescent="0.3">
      <c r="A366" s="1"/>
      <c r="B366" s="14"/>
    </row>
    <row r="367" spans="1:2" ht="15.75" customHeight="1" x14ac:dyDescent="0.3">
      <c r="A367" s="1"/>
      <c r="B367" s="14"/>
    </row>
    <row r="368" spans="1:2" ht="15.75" customHeight="1" x14ac:dyDescent="0.3">
      <c r="A368" s="1"/>
      <c r="B368" s="14"/>
    </row>
    <row r="369" spans="1:2" ht="15.75" customHeight="1" x14ac:dyDescent="0.3">
      <c r="A369" s="1"/>
      <c r="B369" s="14"/>
    </row>
    <row r="370" spans="1:2" ht="15.75" customHeight="1" x14ac:dyDescent="0.3">
      <c r="A370" s="1"/>
      <c r="B370" s="14"/>
    </row>
    <row r="371" spans="1:2" ht="15.75" customHeight="1" x14ac:dyDescent="0.3">
      <c r="A371" s="1"/>
      <c r="B371" s="14"/>
    </row>
    <row r="372" spans="1:2" ht="15.75" customHeight="1" x14ac:dyDescent="0.3">
      <c r="A372" s="1"/>
      <c r="B372" s="14"/>
    </row>
    <row r="373" spans="1:2" ht="15.75" customHeight="1" x14ac:dyDescent="0.3">
      <c r="A373" s="1"/>
      <c r="B373" s="14"/>
    </row>
    <row r="374" spans="1:2" ht="15.75" customHeight="1" x14ac:dyDescent="0.3">
      <c r="A374" s="1"/>
      <c r="B374" s="14"/>
    </row>
    <row r="375" spans="1:2" ht="15.75" customHeight="1" x14ac:dyDescent="0.3">
      <c r="A375" s="1"/>
      <c r="B375" s="14"/>
    </row>
    <row r="376" spans="1:2" ht="15.75" customHeight="1" x14ac:dyDescent="0.3">
      <c r="A376" s="1"/>
      <c r="B376" s="14"/>
    </row>
    <row r="377" spans="1:2" ht="15.75" customHeight="1" x14ac:dyDescent="0.3">
      <c r="A377" s="1"/>
      <c r="B377" s="14"/>
    </row>
    <row r="378" spans="1:2" ht="15.75" customHeight="1" x14ac:dyDescent="0.3">
      <c r="A378" s="1"/>
      <c r="B378" s="14"/>
    </row>
    <row r="379" spans="1:2" ht="15.75" customHeight="1" x14ac:dyDescent="0.3">
      <c r="A379" s="1"/>
      <c r="B379" s="14"/>
    </row>
    <row r="380" spans="1:2" ht="15.75" customHeight="1" x14ac:dyDescent="0.3">
      <c r="A380" s="1"/>
      <c r="B380" s="14"/>
    </row>
    <row r="381" spans="1:2" ht="15.75" customHeight="1" x14ac:dyDescent="0.3">
      <c r="A381" s="1"/>
      <c r="B381" s="14"/>
    </row>
    <row r="382" spans="1:2" ht="15.75" customHeight="1" x14ac:dyDescent="0.3">
      <c r="A382" s="1"/>
      <c r="B382" s="14"/>
    </row>
    <row r="383" spans="1:2" ht="15.75" customHeight="1" x14ac:dyDescent="0.3">
      <c r="A383" s="1"/>
      <c r="B383" s="14"/>
    </row>
    <row r="384" spans="1:2" ht="15.75" customHeight="1" x14ac:dyDescent="0.3">
      <c r="A384" s="1"/>
      <c r="B384" s="14"/>
    </row>
    <row r="385" spans="1:2" ht="15.75" customHeight="1" x14ac:dyDescent="0.3">
      <c r="A385" s="1"/>
      <c r="B385" s="14"/>
    </row>
    <row r="386" spans="1:2" ht="15.75" customHeight="1" x14ac:dyDescent="0.3">
      <c r="A386" s="1"/>
      <c r="B386" s="14"/>
    </row>
    <row r="387" spans="1:2" ht="15.75" customHeight="1" x14ac:dyDescent="0.3">
      <c r="A387" s="1"/>
      <c r="B387" s="14"/>
    </row>
    <row r="388" spans="1:2" ht="15.75" customHeight="1" x14ac:dyDescent="0.3">
      <c r="A388" s="1"/>
      <c r="B388" s="14"/>
    </row>
    <row r="389" spans="1:2" ht="15.75" customHeight="1" x14ac:dyDescent="0.3">
      <c r="A389" s="1"/>
      <c r="B389" s="14"/>
    </row>
    <row r="390" spans="1:2" ht="15.75" customHeight="1" x14ac:dyDescent="0.3">
      <c r="A390" s="1"/>
      <c r="B390" s="14"/>
    </row>
    <row r="391" spans="1:2" ht="15.75" customHeight="1" x14ac:dyDescent="0.3">
      <c r="A391" s="1"/>
      <c r="B391" s="14"/>
    </row>
    <row r="392" spans="1:2" ht="15.75" customHeight="1" x14ac:dyDescent="0.3">
      <c r="A392" s="1"/>
      <c r="B392" s="14"/>
    </row>
    <row r="393" spans="1:2" ht="15.75" customHeight="1" x14ac:dyDescent="0.3">
      <c r="A393" s="1"/>
      <c r="B393" s="14"/>
    </row>
    <row r="394" spans="1:2" ht="15.75" customHeight="1" x14ac:dyDescent="0.3">
      <c r="A394" s="1"/>
      <c r="B394" s="14"/>
    </row>
    <row r="395" spans="1:2" ht="15.75" customHeight="1" x14ac:dyDescent="0.3">
      <c r="A395" s="1"/>
      <c r="B395" s="14"/>
    </row>
    <row r="396" spans="1:2" ht="15.75" customHeight="1" x14ac:dyDescent="0.3">
      <c r="A396" s="1"/>
      <c r="B396" s="14"/>
    </row>
    <row r="397" spans="1:2" ht="15.75" customHeight="1" x14ac:dyDescent="0.3">
      <c r="A397" s="1"/>
      <c r="B397" s="14"/>
    </row>
    <row r="398" spans="1:2" ht="15.75" customHeight="1" x14ac:dyDescent="0.3">
      <c r="A398" s="1"/>
      <c r="B398" s="14"/>
    </row>
    <row r="399" spans="1:2" ht="15.75" customHeight="1" x14ac:dyDescent="0.3">
      <c r="A399" s="1"/>
      <c r="B399" s="14"/>
    </row>
    <row r="400" spans="1:2" ht="15.75" customHeight="1" x14ac:dyDescent="0.3">
      <c r="A400" s="1"/>
      <c r="B400" s="14"/>
    </row>
    <row r="401" spans="1:2" ht="15.75" customHeight="1" x14ac:dyDescent="0.3">
      <c r="A401" s="1"/>
      <c r="B401" s="14"/>
    </row>
    <row r="402" spans="1:2" ht="15.75" customHeight="1" x14ac:dyDescent="0.3">
      <c r="A402" s="1"/>
      <c r="B402" s="14"/>
    </row>
    <row r="403" spans="1:2" ht="15.75" customHeight="1" x14ac:dyDescent="0.3">
      <c r="A403" s="1"/>
      <c r="B403" s="14"/>
    </row>
    <row r="404" spans="1:2" ht="15.75" customHeight="1" x14ac:dyDescent="0.3">
      <c r="A404" s="1"/>
      <c r="B404" s="14"/>
    </row>
    <row r="405" spans="1:2" ht="15.75" customHeight="1" x14ac:dyDescent="0.3">
      <c r="A405" s="1"/>
      <c r="B405" s="14"/>
    </row>
    <row r="406" spans="1:2" ht="15.75" customHeight="1" x14ac:dyDescent="0.3">
      <c r="A406" s="1"/>
      <c r="B406" s="14"/>
    </row>
    <row r="407" spans="1:2" ht="15.75" customHeight="1" x14ac:dyDescent="0.3">
      <c r="A407" s="1"/>
      <c r="B407" s="14"/>
    </row>
    <row r="408" spans="1:2" ht="15.75" customHeight="1" x14ac:dyDescent="0.3">
      <c r="A408" s="1"/>
      <c r="B408" s="14"/>
    </row>
    <row r="409" spans="1:2" ht="15.75" customHeight="1" x14ac:dyDescent="0.3">
      <c r="A409" s="1"/>
      <c r="B409" s="14"/>
    </row>
    <row r="410" spans="1:2" ht="15.75" customHeight="1" x14ac:dyDescent="0.3">
      <c r="A410" s="1"/>
      <c r="B410" s="14"/>
    </row>
    <row r="411" spans="1:2" ht="15.75" customHeight="1" x14ac:dyDescent="0.3">
      <c r="A411" s="1"/>
      <c r="B411" s="14"/>
    </row>
    <row r="412" spans="1:2" ht="15.75" customHeight="1" x14ac:dyDescent="0.3">
      <c r="A412" s="1"/>
      <c r="B412" s="14"/>
    </row>
    <row r="413" spans="1:2" ht="15.75" customHeight="1" x14ac:dyDescent="0.3">
      <c r="A413" s="1"/>
      <c r="B413" s="14"/>
    </row>
    <row r="414" spans="1:2" ht="15.75" customHeight="1" x14ac:dyDescent="0.3">
      <c r="A414" s="1"/>
      <c r="B414" s="14"/>
    </row>
    <row r="415" spans="1:2" ht="15.75" customHeight="1" x14ac:dyDescent="0.3">
      <c r="A415" s="1"/>
      <c r="B415" s="14"/>
    </row>
    <row r="416" spans="1:2" ht="15.75" customHeight="1" x14ac:dyDescent="0.3">
      <c r="A416" s="1"/>
      <c r="B416" s="14"/>
    </row>
    <row r="417" spans="1:2" ht="15.75" customHeight="1" x14ac:dyDescent="0.3">
      <c r="A417" s="1"/>
      <c r="B417" s="14"/>
    </row>
    <row r="418" spans="1:2" ht="15.75" customHeight="1" x14ac:dyDescent="0.3">
      <c r="A418" s="1"/>
      <c r="B418" s="14"/>
    </row>
    <row r="419" spans="1:2" ht="15.75" customHeight="1" x14ac:dyDescent="0.3">
      <c r="A419" s="1"/>
      <c r="B419" s="14"/>
    </row>
    <row r="420" spans="1:2" ht="15.75" customHeight="1" x14ac:dyDescent="0.3">
      <c r="A420" s="1"/>
      <c r="B420" s="14"/>
    </row>
    <row r="421" spans="1:2" ht="15.75" customHeight="1" x14ac:dyDescent="0.3">
      <c r="A421" s="1"/>
      <c r="B421" s="14"/>
    </row>
    <row r="422" spans="1:2" ht="15.75" customHeight="1" x14ac:dyDescent="0.3">
      <c r="A422" s="1"/>
      <c r="B422" s="14"/>
    </row>
    <row r="423" spans="1:2" ht="15.75" customHeight="1" x14ac:dyDescent="0.3">
      <c r="A423" s="1"/>
      <c r="B423" s="14"/>
    </row>
    <row r="424" spans="1:2" ht="15.75" customHeight="1" x14ac:dyDescent="0.3">
      <c r="A424" s="1"/>
      <c r="B424" s="14"/>
    </row>
    <row r="425" spans="1:2" ht="15.75" customHeight="1" x14ac:dyDescent="0.3">
      <c r="A425" s="1"/>
      <c r="B425" s="14"/>
    </row>
    <row r="426" spans="1:2" ht="15.75" customHeight="1" x14ac:dyDescent="0.3">
      <c r="A426" s="1"/>
      <c r="B426" s="14"/>
    </row>
    <row r="427" spans="1:2" ht="15.75" customHeight="1" x14ac:dyDescent="0.3">
      <c r="A427" s="1"/>
      <c r="B427" s="14"/>
    </row>
    <row r="428" spans="1:2" ht="15.75" customHeight="1" x14ac:dyDescent="0.3">
      <c r="A428" s="1"/>
      <c r="B428" s="14"/>
    </row>
    <row r="429" spans="1:2" ht="15.75" customHeight="1" x14ac:dyDescent="0.3">
      <c r="A429" s="1"/>
      <c r="B429" s="14"/>
    </row>
    <row r="430" spans="1:2" ht="15.75" customHeight="1" x14ac:dyDescent="0.3">
      <c r="A430" s="1"/>
      <c r="B430" s="14"/>
    </row>
    <row r="431" spans="1:2" ht="15.75" customHeight="1" x14ac:dyDescent="0.3">
      <c r="A431" s="1"/>
      <c r="B431" s="14"/>
    </row>
    <row r="432" spans="1:2" ht="15.75" customHeight="1" x14ac:dyDescent="0.3">
      <c r="A432" s="1"/>
      <c r="B432" s="14"/>
    </row>
    <row r="433" spans="1:2" ht="15.75" customHeight="1" x14ac:dyDescent="0.3">
      <c r="A433" s="1"/>
      <c r="B433" s="14"/>
    </row>
    <row r="434" spans="1:2" ht="15.75" customHeight="1" x14ac:dyDescent="0.3">
      <c r="A434" s="1"/>
      <c r="B434" s="14"/>
    </row>
    <row r="435" spans="1:2" ht="15.75" customHeight="1" x14ac:dyDescent="0.3">
      <c r="A435" s="1"/>
      <c r="B435" s="14"/>
    </row>
    <row r="436" spans="1:2" ht="15.75" customHeight="1" x14ac:dyDescent="0.3">
      <c r="A436" s="1"/>
      <c r="B436" s="14"/>
    </row>
    <row r="437" spans="1:2" ht="15.75" customHeight="1" x14ac:dyDescent="0.3">
      <c r="A437" s="1"/>
      <c r="B437" s="14"/>
    </row>
    <row r="438" spans="1:2" ht="15.75" customHeight="1" x14ac:dyDescent="0.3">
      <c r="A438" s="1"/>
      <c r="B438" s="14"/>
    </row>
    <row r="439" spans="1:2" ht="15.75" customHeight="1" x14ac:dyDescent="0.3">
      <c r="A439" s="1"/>
      <c r="B439" s="14"/>
    </row>
    <row r="440" spans="1:2" ht="15.75" customHeight="1" x14ac:dyDescent="0.3">
      <c r="A440" s="1"/>
      <c r="B440" s="14"/>
    </row>
    <row r="441" spans="1:2" ht="15.75" customHeight="1" x14ac:dyDescent="0.3">
      <c r="A441" s="1"/>
      <c r="B441" s="14"/>
    </row>
    <row r="442" spans="1:2" ht="15.75" customHeight="1" x14ac:dyDescent="0.3">
      <c r="A442" s="1"/>
      <c r="B442" s="14"/>
    </row>
    <row r="443" spans="1:2" ht="15.75" customHeight="1" x14ac:dyDescent="0.3">
      <c r="A443" s="1"/>
      <c r="B443" s="14"/>
    </row>
    <row r="444" spans="1:2" ht="15.75" customHeight="1" x14ac:dyDescent="0.3">
      <c r="A444" s="1"/>
      <c r="B444" s="14"/>
    </row>
    <row r="445" spans="1:2" ht="15.75" customHeight="1" x14ac:dyDescent="0.3">
      <c r="A445" s="1"/>
      <c r="B445" s="14"/>
    </row>
    <row r="446" spans="1:2" ht="15.75" customHeight="1" x14ac:dyDescent="0.3">
      <c r="A446" s="1"/>
      <c r="B446" s="14"/>
    </row>
    <row r="447" spans="1:2" ht="15.75" customHeight="1" x14ac:dyDescent="0.3">
      <c r="A447" s="1"/>
      <c r="B447" s="14"/>
    </row>
    <row r="448" spans="1:2" ht="15.75" customHeight="1" x14ac:dyDescent="0.3">
      <c r="A448" s="1"/>
      <c r="B448" s="14"/>
    </row>
    <row r="449" spans="1:2" ht="15.75" customHeight="1" x14ac:dyDescent="0.3">
      <c r="A449" s="1"/>
      <c r="B449" s="14"/>
    </row>
    <row r="450" spans="1:2" ht="15.75" customHeight="1" x14ac:dyDescent="0.3">
      <c r="A450" s="1"/>
      <c r="B450" s="14"/>
    </row>
    <row r="451" spans="1:2" ht="15.75" customHeight="1" x14ac:dyDescent="0.3">
      <c r="A451" s="1"/>
      <c r="B451" s="14"/>
    </row>
    <row r="452" spans="1:2" ht="15.75" customHeight="1" x14ac:dyDescent="0.3">
      <c r="A452" s="1"/>
      <c r="B452" s="14"/>
    </row>
    <row r="453" spans="1:2" ht="15.75" customHeight="1" x14ac:dyDescent="0.3">
      <c r="A453" s="1"/>
      <c r="B453" s="14"/>
    </row>
    <row r="454" spans="1:2" ht="15.75" customHeight="1" x14ac:dyDescent="0.3">
      <c r="A454" s="1"/>
      <c r="B454" s="14"/>
    </row>
    <row r="455" spans="1:2" ht="15.75" customHeight="1" x14ac:dyDescent="0.3">
      <c r="A455" s="1"/>
      <c r="B455" s="14"/>
    </row>
    <row r="456" spans="1:2" ht="15.75" customHeight="1" x14ac:dyDescent="0.3">
      <c r="A456" s="1"/>
      <c r="B456" s="14"/>
    </row>
    <row r="457" spans="1:2" ht="15.75" customHeight="1" x14ac:dyDescent="0.3">
      <c r="A457" s="1"/>
      <c r="B457" s="14"/>
    </row>
    <row r="458" spans="1:2" ht="15.75" customHeight="1" x14ac:dyDescent="0.3">
      <c r="A458" s="1"/>
      <c r="B458" s="14"/>
    </row>
    <row r="459" spans="1:2" ht="15.75" customHeight="1" x14ac:dyDescent="0.3">
      <c r="A459" s="1"/>
      <c r="B459" s="14"/>
    </row>
    <row r="460" spans="1:2" ht="15.75" customHeight="1" x14ac:dyDescent="0.3">
      <c r="A460" s="1"/>
      <c r="B460" s="14"/>
    </row>
    <row r="461" spans="1:2" ht="15.75" customHeight="1" x14ac:dyDescent="0.3">
      <c r="A461" s="1"/>
      <c r="B461" s="14"/>
    </row>
    <row r="462" spans="1:2" ht="15.75" customHeight="1" x14ac:dyDescent="0.3">
      <c r="A462" s="1"/>
      <c r="B462" s="14"/>
    </row>
    <row r="463" spans="1:2" ht="15.75" customHeight="1" x14ac:dyDescent="0.3">
      <c r="A463" s="1"/>
      <c r="B463" s="14"/>
    </row>
    <row r="464" spans="1:2" ht="15.75" customHeight="1" x14ac:dyDescent="0.3">
      <c r="A464" s="1"/>
      <c r="B464" s="14"/>
    </row>
    <row r="465" spans="1:2" ht="15.75" customHeight="1" x14ac:dyDescent="0.3">
      <c r="A465" s="1"/>
      <c r="B465" s="14"/>
    </row>
    <row r="466" spans="1:2" ht="15.75" customHeight="1" x14ac:dyDescent="0.3">
      <c r="A466" s="1"/>
      <c r="B466" s="14"/>
    </row>
    <row r="467" spans="1:2" ht="15.75" customHeight="1" x14ac:dyDescent="0.3">
      <c r="A467" s="1"/>
      <c r="B467" s="14"/>
    </row>
    <row r="468" spans="1:2" ht="15.75" customHeight="1" x14ac:dyDescent="0.3">
      <c r="A468" s="1"/>
      <c r="B468" s="14"/>
    </row>
    <row r="469" spans="1:2" ht="15.75" customHeight="1" x14ac:dyDescent="0.3">
      <c r="A469" s="1"/>
      <c r="B469" s="14"/>
    </row>
    <row r="470" spans="1:2" ht="15.75" customHeight="1" x14ac:dyDescent="0.3">
      <c r="A470" s="1"/>
      <c r="B470" s="14"/>
    </row>
    <row r="471" spans="1:2" ht="15.75" customHeight="1" x14ac:dyDescent="0.3">
      <c r="A471" s="1"/>
      <c r="B471" s="14"/>
    </row>
    <row r="472" spans="1:2" ht="15.75" customHeight="1" x14ac:dyDescent="0.3">
      <c r="A472" s="1"/>
      <c r="B472" s="14"/>
    </row>
    <row r="473" spans="1:2" ht="15.75" customHeight="1" x14ac:dyDescent="0.3">
      <c r="A473" s="1"/>
      <c r="B473" s="14"/>
    </row>
    <row r="474" spans="1:2" ht="15.75" customHeight="1" x14ac:dyDescent="0.3">
      <c r="A474" s="1"/>
      <c r="B474" s="14"/>
    </row>
    <row r="475" spans="1:2" ht="15.75" customHeight="1" x14ac:dyDescent="0.3">
      <c r="A475" s="1"/>
      <c r="B475" s="14"/>
    </row>
    <row r="476" spans="1:2" ht="15.75" customHeight="1" x14ac:dyDescent="0.3">
      <c r="A476" s="1"/>
      <c r="B476" s="14"/>
    </row>
    <row r="477" spans="1:2" ht="15.75" customHeight="1" x14ac:dyDescent="0.3">
      <c r="A477" s="1"/>
      <c r="B477" s="14"/>
    </row>
    <row r="478" spans="1:2" ht="15.75" customHeight="1" x14ac:dyDescent="0.3">
      <c r="A478" s="1"/>
      <c r="B478" s="14"/>
    </row>
    <row r="479" spans="1:2" ht="15.75" customHeight="1" x14ac:dyDescent="0.3">
      <c r="A479" s="1"/>
      <c r="B479" s="14"/>
    </row>
    <row r="480" spans="1:2" ht="15.75" customHeight="1" x14ac:dyDescent="0.3">
      <c r="A480" s="1"/>
      <c r="B480" s="14"/>
    </row>
    <row r="481" spans="1:2" ht="15.75" customHeight="1" x14ac:dyDescent="0.3">
      <c r="A481" s="1"/>
      <c r="B481" s="14"/>
    </row>
    <row r="482" spans="1:2" ht="15.75" customHeight="1" x14ac:dyDescent="0.3">
      <c r="A482" s="1"/>
      <c r="B482" s="14"/>
    </row>
    <row r="483" spans="1:2" ht="15.75" customHeight="1" x14ac:dyDescent="0.3">
      <c r="A483" s="1"/>
      <c r="B483" s="14"/>
    </row>
    <row r="484" spans="1:2" ht="15.75" customHeight="1" x14ac:dyDescent="0.3">
      <c r="A484" s="1"/>
      <c r="B484" s="14"/>
    </row>
    <row r="485" spans="1:2" ht="15.75" customHeight="1" x14ac:dyDescent="0.3">
      <c r="A485" s="1"/>
      <c r="B485" s="14"/>
    </row>
    <row r="486" spans="1:2" ht="15.75" customHeight="1" x14ac:dyDescent="0.3">
      <c r="A486" s="1"/>
      <c r="B486" s="14"/>
    </row>
    <row r="487" spans="1:2" ht="15.75" customHeight="1" x14ac:dyDescent="0.3">
      <c r="A487" s="1"/>
      <c r="B487" s="14"/>
    </row>
    <row r="488" spans="1:2" ht="15.75" customHeight="1" x14ac:dyDescent="0.3">
      <c r="A488" s="1"/>
      <c r="B488" s="14"/>
    </row>
    <row r="489" spans="1:2" ht="15.75" customHeight="1" x14ac:dyDescent="0.3">
      <c r="A489" s="1"/>
      <c r="B489" s="14"/>
    </row>
    <row r="490" spans="1:2" ht="15.75" customHeight="1" x14ac:dyDescent="0.3">
      <c r="A490" s="1"/>
      <c r="B490" s="14"/>
    </row>
    <row r="491" spans="1:2" ht="15.75" customHeight="1" x14ac:dyDescent="0.3">
      <c r="A491" s="1"/>
      <c r="B491" s="14"/>
    </row>
    <row r="492" spans="1:2" ht="15.75" customHeight="1" x14ac:dyDescent="0.3">
      <c r="A492" s="1"/>
      <c r="B492" s="14"/>
    </row>
    <row r="493" spans="1:2" ht="15.75" customHeight="1" x14ac:dyDescent="0.3">
      <c r="A493" s="1"/>
      <c r="B493" s="14"/>
    </row>
    <row r="494" spans="1:2" ht="15.75" customHeight="1" x14ac:dyDescent="0.3">
      <c r="A494" s="1"/>
      <c r="B494" s="14"/>
    </row>
    <row r="495" spans="1:2" ht="15.75" customHeight="1" x14ac:dyDescent="0.3">
      <c r="A495" s="1"/>
      <c r="B495" s="14"/>
    </row>
    <row r="496" spans="1:2" ht="15.75" customHeight="1" x14ac:dyDescent="0.3">
      <c r="A496" s="1"/>
      <c r="B496" s="14"/>
    </row>
    <row r="497" spans="1:2" ht="15.75" customHeight="1" x14ac:dyDescent="0.3">
      <c r="A497" s="1"/>
      <c r="B497" s="14"/>
    </row>
    <row r="498" spans="1:2" ht="15.75" customHeight="1" x14ac:dyDescent="0.3">
      <c r="A498" s="1"/>
      <c r="B498" s="14"/>
    </row>
    <row r="499" spans="1:2" ht="15.75" customHeight="1" x14ac:dyDescent="0.3">
      <c r="A499" s="1"/>
      <c r="B499" s="14"/>
    </row>
    <row r="500" spans="1:2" ht="15.75" customHeight="1" x14ac:dyDescent="0.3">
      <c r="A500" s="1"/>
      <c r="B500" s="14"/>
    </row>
    <row r="501" spans="1:2" ht="15.75" customHeight="1" x14ac:dyDescent="0.3">
      <c r="A501" s="1"/>
      <c r="B501" s="14"/>
    </row>
    <row r="502" spans="1:2" ht="15.75" customHeight="1" x14ac:dyDescent="0.3">
      <c r="A502" s="1"/>
      <c r="B502" s="14"/>
    </row>
    <row r="503" spans="1:2" ht="15.75" customHeight="1" x14ac:dyDescent="0.3">
      <c r="A503" s="1"/>
      <c r="B503" s="14"/>
    </row>
    <row r="504" spans="1:2" ht="15.75" customHeight="1" x14ac:dyDescent="0.3">
      <c r="A504" s="1"/>
      <c r="B504" s="14"/>
    </row>
    <row r="505" spans="1:2" ht="15.75" customHeight="1" x14ac:dyDescent="0.3">
      <c r="A505" s="1"/>
      <c r="B505" s="14"/>
    </row>
    <row r="506" spans="1:2" ht="15.75" customHeight="1" x14ac:dyDescent="0.3">
      <c r="A506" s="1"/>
      <c r="B506" s="14"/>
    </row>
    <row r="507" spans="1:2" ht="15.75" customHeight="1" x14ac:dyDescent="0.3">
      <c r="A507" s="1"/>
      <c r="B507" s="14"/>
    </row>
    <row r="508" spans="1:2" ht="15.75" customHeight="1" x14ac:dyDescent="0.3">
      <c r="A508" s="1"/>
      <c r="B508" s="14"/>
    </row>
    <row r="509" spans="1:2" ht="15.75" customHeight="1" x14ac:dyDescent="0.3">
      <c r="A509" s="1"/>
      <c r="B509" s="14"/>
    </row>
    <row r="510" spans="1:2" ht="15.75" customHeight="1" x14ac:dyDescent="0.3">
      <c r="A510" s="1"/>
      <c r="B510" s="14"/>
    </row>
    <row r="511" spans="1:2" ht="15.75" customHeight="1" x14ac:dyDescent="0.3">
      <c r="A511" s="1"/>
      <c r="B511" s="14"/>
    </row>
    <row r="512" spans="1:2" ht="15.75" customHeight="1" x14ac:dyDescent="0.3">
      <c r="A512" s="1"/>
      <c r="B512" s="14"/>
    </row>
    <row r="513" spans="1:2" ht="15.75" customHeight="1" x14ac:dyDescent="0.3">
      <c r="A513" s="1"/>
      <c r="B513" s="14"/>
    </row>
    <row r="514" spans="1:2" ht="15.75" customHeight="1" x14ac:dyDescent="0.3">
      <c r="A514" s="1"/>
      <c r="B514" s="14"/>
    </row>
    <row r="515" spans="1:2" ht="15.75" customHeight="1" x14ac:dyDescent="0.3">
      <c r="A515" s="1"/>
      <c r="B515" s="14"/>
    </row>
    <row r="516" spans="1:2" ht="15.75" customHeight="1" x14ac:dyDescent="0.3">
      <c r="A516" s="1"/>
      <c r="B516" s="14"/>
    </row>
    <row r="517" spans="1:2" ht="15.75" customHeight="1" x14ac:dyDescent="0.3">
      <c r="A517" s="1"/>
      <c r="B517" s="14"/>
    </row>
    <row r="518" spans="1:2" ht="15.75" customHeight="1" x14ac:dyDescent="0.3">
      <c r="A518" s="1"/>
      <c r="B518" s="14"/>
    </row>
    <row r="519" spans="1:2" ht="15.75" customHeight="1" x14ac:dyDescent="0.3">
      <c r="A519" s="1"/>
      <c r="B519" s="14"/>
    </row>
    <row r="520" spans="1:2" ht="15.75" customHeight="1" x14ac:dyDescent="0.3">
      <c r="A520" s="1"/>
      <c r="B520" s="14"/>
    </row>
    <row r="521" spans="1:2" ht="15.75" customHeight="1" x14ac:dyDescent="0.3">
      <c r="A521" s="1"/>
      <c r="B521" s="14"/>
    </row>
    <row r="522" spans="1:2" ht="15.75" customHeight="1" x14ac:dyDescent="0.3">
      <c r="A522" s="1"/>
      <c r="B522" s="14"/>
    </row>
    <row r="523" spans="1:2" ht="15.75" customHeight="1" x14ac:dyDescent="0.3">
      <c r="A523" s="1"/>
      <c r="B523" s="14"/>
    </row>
    <row r="524" spans="1:2" ht="15.75" customHeight="1" x14ac:dyDescent="0.3">
      <c r="A524" s="1"/>
      <c r="B524" s="14"/>
    </row>
    <row r="525" spans="1:2" ht="15.75" customHeight="1" x14ac:dyDescent="0.3">
      <c r="A525" s="1"/>
      <c r="B525" s="14"/>
    </row>
    <row r="526" spans="1:2" ht="15.75" customHeight="1" x14ac:dyDescent="0.3">
      <c r="A526" s="1"/>
      <c r="B526" s="14"/>
    </row>
    <row r="527" spans="1:2" ht="15.75" customHeight="1" x14ac:dyDescent="0.3">
      <c r="A527" s="1"/>
      <c r="B527" s="14"/>
    </row>
    <row r="528" spans="1:2" ht="15.75" customHeight="1" x14ac:dyDescent="0.3">
      <c r="A528" s="1"/>
      <c r="B528" s="14"/>
    </row>
    <row r="529" spans="1:2" ht="15.75" customHeight="1" x14ac:dyDescent="0.3">
      <c r="A529" s="1"/>
      <c r="B529" s="14"/>
    </row>
    <row r="530" spans="1:2" ht="15.75" customHeight="1" x14ac:dyDescent="0.3">
      <c r="A530" s="1"/>
      <c r="B530" s="14"/>
    </row>
    <row r="531" spans="1:2" ht="15.75" customHeight="1" x14ac:dyDescent="0.3">
      <c r="A531" s="1"/>
      <c r="B531" s="14"/>
    </row>
    <row r="532" spans="1:2" ht="15.75" customHeight="1" x14ac:dyDescent="0.3">
      <c r="A532" s="1"/>
      <c r="B532" s="14"/>
    </row>
    <row r="533" spans="1:2" ht="15.75" customHeight="1" x14ac:dyDescent="0.3">
      <c r="A533" s="1"/>
      <c r="B533" s="14"/>
    </row>
    <row r="534" spans="1:2" ht="15.75" customHeight="1" x14ac:dyDescent="0.3">
      <c r="A534" s="1"/>
      <c r="B534" s="14"/>
    </row>
    <row r="535" spans="1:2" ht="15.75" customHeight="1" x14ac:dyDescent="0.3">
      <c r="A535" s="1"/>
      <c r="B535" s="14"/>
    </row>
    <row r="536" spans="1:2" ht="15.75" customHeight="1" x14ac:dyDescent="0.3">
      <c r="A536" s="1"/>
      <c r="B536" s="14"/>
    </row>
    <row r="537" spans="1:2" ht="15.75" customHeight="1" x14ac:dyDescent="0.3">
      <c r="A537" s="1"/>
      <c r="B537" s="14"/>
    </row>
    <row r="538" spans="1:2" ht="15.75" customHeight="1" x14ac:dyDescent="0.3">
      <c r="A538" s="1"/>
      <c r="B538" s="14"/>
    </row>
    <row r="539" spans="1:2" ht="15.75" customHeight="1" x14ac:dyDescent="0.3">
      <c r="A539" s="1"/>
      <c r="B539" s="14"/>
    </row>
    <row r="540" spans="1:2" ht="15.75" customHeight="1" x14ac:dyDescent="0.3">
      <c r="A540" s="1"/>
      <c r="B540" s="14"/>
    </row>
    <row r="541" spans="1:2" ht="15.75" customHeight="1" x14ac:dyDescent="0.3">
      <c r="A541" s="1"/>
      <c r="B541" s="14"/>
    </row>
    <row r="542" spans="1:2" ht="15.75" customHeight="1" x14ac:dyDescent="0.3">
      <c r="A542" s="1"/>
      <c r="B542" s="14"/>
    </row>
    <row r="543" spans="1:2" ht="15.75" customHeight="1" x14ac:dyDescent="0.3">
      <c r="A543" s="1"/>
      <c r="B543" s="14"/>
    </row>
    <row r="544" spans="1:2" ht="15.75" customHeight="1" x14ac:dyDescent="0.3">
      <c r="A544" s="1"/>
      <c r="B544" s="14"/>
    </row>
    <row r="545" spans="1:2" ht="15.75" customHeight="1" x14ac:dyDescent="0.3">
      <c r="A545" s="1"/>
      <c r="B545" s="14"/>
    </row>
    <row r="546" spans="1:2" ht="15.75" customHeight="1" x14ac:dyDescent="0.3">
      <c r="A546" s="1"/>
      <c r="B546" s="14"/>
    </row>
    <row r="547" spans="1:2" ht="15.75" customHeight="1" x14ac:dyDescent="0.3">
      <c r="A547" s="1"/>
      <c r="B547" s="14"/>
    </row>
    <row r="548" spans="1:2" ht="15.75" customHeight="1" x14ac:dyDescent="0.3">
      <c r="A548" s="1"/>
      <c r="B548" s="14"/>
    </row>
    <row r="549" spans="1:2" ht="15.75" customHeight="1" x14ac:dyDescent="0.3">
      <c r="A549" s="1"/>
      <c r="B549" s="14"/>
    </row>
    <row r="550" spans="1:2" ht="15.75" customHeight="1" x14ac:dyDescent="0.3">
      <c r="A550" s="1"/>
      <c r="B550" s="14"/>
    </row>
    <row r="551" spans="1:2" ht="15.75" customHeight="1" x14ac:dyDescent="0.3">
      <c r="A551" s="1"/>
      <c r="B551" s="14"/>
    </row>
    <row r="552" spans="1:2" ht="15.75" customHeight="1" x14ac:dyDescent="0.3">
      <c r="A552" s="1"/>
      <c r="B552" s="14"/>
    </row>
    <row r="553" spans="1:2" ht="15.75" customHeight="1" x14ac:dyDescent="0.3">
      <c r="A553" s="1"/>
      <c r="B553" s="14"/>
    </row>
    <row r="554" spans="1:2" ht="15.75" customHeight="1" x14ac:dyDescent="0.3">
      <c r="A554" s="1"/>
      <c r="B554" s="14"/>
    </row>
    <row r="555" spans="1:2" ht="15.75" customHeight="1" x14ac:dyDescent="0.3">
      <c r="A555" s="1"/>
      <c r="B555" s="14"/>
    </row>
    <row r="556" spans="1:2" ht="15.75" customHeight="1" x14ac:dyDescent="0.3">
      <c r="A556" s="1"/>
      <c r="B556" s="14"/>
    </row>
    <row r="557" spans="1:2" ht="15.75" customHeight="1" x14ac:dyDescent="0.3">
      <c r="A557" s="1"/>
      <c r="B557" s="14"/>
    </row>
    <row r="558" spans="1:2" ht="15.75" customHeight="1" x14ac:dyDescent="0.3">
      <c r="A558" s="1"/>
      <c r="B558" s="14"/>
    </row>
    <row r="559" spans="1:2" ht="15.75" customHeight="1" x14ac:dyDescent="0.3">
      <c r="A559" s="1"/>
      <c r="B559" s="14"/>
    </row>
    <row r="560" spans="1:2" ht="15.75" customHeight="1" x14ac:dyDescent="0.3">
      <c r="A560" s="1"/>
      <c r="B560" s="14"/>
    </row>
    <row r="561" spans="1:2" ht="15.75" customHeight="1" x14ac:dyDescent="0.3">
      <c r="A561" s="1"/>
      <c r="B561" s="14"/>
    </row>
    <row r="562" spans="1:2" ht="15.75" customHeight="1" x14ac:dyDescent="0.3">
      <c r="A562" s="1"/>
      <c r="B562" s="14"/>
    </row>
    <row r="563" spans="1:2" ht="15.75" customHeight="1" x14ac:dyDescent="0.3">
      <c r="A563" s="1"/>
      <c r="B563" s="14"/>
    </row>
    <row r="564" spans="1:2" ht="15.75" customHeight="1" x14ac:dyDescent="0.3">
      <c r="A564" s="1"/>
      <c r="B564" s="14"/>
    </row>
    <row r="565" spans="1:2" ht="15.75" customHeight="1" x14ac:dyDescent="0.3">
      <c r="A565" s="1"/>
      <c r="B565" s="14"/>
    </row>
    <row r="566" spans="1:2" ht="15.75" customHeight="1" x14ac:dyDescent="0.3">
      <c r="A566" s="1"/>
      <c r="B566" s="14"/>
    </row>
    <row r="567" spans="1:2" ht="15.75" customHeight="1" x14ac:dyDescent="0.3">
      <c r="A567" s="1"/>
      <c r="B567" s="14"/>
    </row>
    <row r="568" spans="1:2" ht="15.75" customHeight="1" x14ac:dyDescent="0.3">
      <c r="A568" s="1"/>
      <c r="B568" s="14"/>
    </row>
    <row r="569" spans="1:2" ht="15.75" customHeight="1" x14ac:dyDescent="0.3">
      <c r="A569" s="1"/>
      <c r="B569" s="14"/>
    </row>
    <row r="570" spans="1:2" ht="15.75" customHeight="1" x14ac:dyDescent="0.3">
      <c r="A570" s="1"/>
      <c r="B570" s="14"/>
    </row>
    <row r="571" spans="1:2" ht="15.75" customHeight="1" x14ac:dyDescent="0.3">
      <c r="A571" s="1"/>
      <c r="B571" s="14"/>
    </row>
    <row r="572" spans="1:2" ht="15.75" customHeight="1" x14ac:dyDescent="0.3">
      <c r="A572" s="1"/>
      <c r="B572" s="14"/>
    </row>
    <row r="573" spans="1:2" ht="15.75" customHeight="1" x14ac:dyDescent="0.3">
      <c r="A573" s="1"/>
      <c r="B573" s="14"/>
    </row>
    <row r="574" spans="1:2" ht="15.75" customHeight="1" x14ac:dyDescent="0.3">
      <c r="A574" s="1"/>
      <c r="B574" s="14"/>
    </row>
    <row r="575" spans="1:2" ht="15.75" customHeight="1" x14ac:dyDescent="0.3">
      <c r="A575" s="1"/>
      <c r="B575" s="14"/>
    </row>
    <row r="576" spans="1:2" ht="15.75" customHeight="1" x14ac:dyDescent="0.3">
      <c r="A576" s="1"/>
      <c r="B576" s="14"/>
    </row>
    <row r="577" spans="1:2" ht="15.75" customHeight="1" x14ac:dyDescent="0.3">
      <c r="A577" s="1"/>
      <c r="B577" s="14"/>
    </row>
    <row r="578" spans="1:2" ht="15.75" customHeight="1" x14ac:dyDescent="0.3">
      <c r="A578" s="1"/>
      <c r="B578" s="14"/>
    </row>
    <row r="579" spans="1:2" ht="15.75" customHeight="1" x14ac:dyDescent="0.3">
      <c r="A579" s="1"/>
      <c r="B579" s="14"/>
    </row>
    <row r="580" spans="1:2" ht="15.75" customHeight="1" x14ac:dyDescent="0.3">
      <c r="A580" s="1"/>
      <c r="B580" s="14"/>
    </row>
    <row r="581" spans="1:2" ht="15.75" customHeight="1" x14ac:dyDescent="0.3">
      <c r="A581" s="1"/>
      <c r="B581" s="14"/>
    </row>
    <row r="582" spans="1:2" ht="15.75" customHeight="1" x14ac:dyDescent="0.3">
      <c r="A582" s="1"/>
      <c r="B582" s="14"/>
    </row>
    <row r="583" spans="1:2" ht="15.75" customHeight="1" x14ac:dyDescent="0.3">
      <c r="A583" s="1"/>
      <c r="B583" s="14"/>
    </row>
    <row r="584" spans="1:2" ht="15.75" customHeight="1" x14ac:dyDescent="0.3">
      <c r="A584" s="1"/>
      <c r="B584" s="14"/>
    </row>
    <row r="585" spans="1:2" ht="15.75" customHeight="1" x14ac:dyDescent="0.3">
      <c r="A585" s="1"/>
      <c r="B585" s="14"/>
    </row>
    <row r="586" spans="1:2" ht="15.75" customHeight="1" x14ac:dyDescent="0.3">
      <c r="A586" s="1"/>
      <c r="B586" s="14"/>
    </row>
    <row r="587" spans="1:2" ht="15.75" customHeight="1" x14ac:dyDescent="0.3">
      <c r="A587" s="1"/>
      <c r="B587" s="14"/>
    </row>
    <row r="588" spans="1:2" ht="15.75" customHeight="1" x14ac:dyDescent="0.3">
      <c r="A588" s="1"/>
      <c r="B588" s="14"/>
    </row>
    <row r="589" spans="1:2" ht="15.75" customHeight="1" x14ac:dyDescent="0.3">
      <c r="A589" s="1"/>
      <c r="B589" s="14"/>
    </row>
    <row r="590" spans="1:2" ht="15.75" customHeight="1" x14ac:dyDescent="0.3">
      <c r="A590" s="1"/>
      <c r="B590" s="14"/>
    </row>
    <row r="591" spans="1:2" ht="15.75" customHeight="1" x14ac:dyDescent="0.3">
      <c r="A591" s="1"/>
      <c r="B591" s="14"/>
    </row>
    <row r="592" spans="1:2" ht="15.75" customHeight="1" x14ac:dyDescent="0.3">
      <c r="A592" s="1"/>
      <c r="B592" s="14"/>
    </row>
    <row r="593" spans="1:2" ht="15.75" customHeight="1" x14ac:dyDescent="0.3">
      <c r="A593" s="1"/>
      <c r="B593" s="14"/>
    </row>
    <row r="594" spans="1:2" ht="15.75" customHeight="1" x14ac:dyDescent="0.3">
      <c r="A594" s="1"/>
      <c r="B594" s="14"/>
    </row>
    <row r="595" spans="1:2" ht="15.75" customHeight="1" x14ac:dyDescent="0.3">
      <c r="A595" s="1"/>
      <c r="B595" s="14"/>
    </row>
    <row r="596" spans="1:2" ht="15.75" customHeight="1" x14ac:dyDescent="0.3">
      <c r="A596" s="1"/>
      <c r="B596" s="14"/>
    </row>
    <row r="597" spans="1:2" ht="15.75" customHeight="1" x14ac:dyDescent="0.3">
      <c r="A597" s="1"/>
      <c r="B597" s="14"/>
    </row>
    <row r="598" spans="1:2" ht="15.75" customHeight="1" x14ac:dyDescent="0.3">
      <c r="A598" s="1"/>
      <c r="B598" s="14"/>
    </row>
    <row r="599" spans="1:2" ht="15.75" customHeight="1" x14ac:dyDescent="0.3">
      <c r="A599" s="1"/>
      <c r="B599" s="14"/>
    </row>
    <row r="600" spans="1:2" ht="15.75" customHeight="1" x14ac:dyDescent="0.3">
      <c r="A600" s="1"/>
      <c r="B600" s="14"/>
    </row>
    <row r="601" spans="1:2" ht="15.75" customHeight="1" x14ac:dyDescent="0.3">
      <c r="A601" s="1"/>
      <c r="B601" s="14"/>
    </row>
    <row r="602" spans="1:2" ht="15.75" customHeight="1" x14ac:dyDescent="0.3">
      <c r="A602" s="1"/>
      <c r="B602" s="14"/>
    </row>
    <row r="603" spans="1:2" ht="15.75" customHeight="1" x14ac:dyDescent="0.3">
      <c r="A603" s="1"/>
      <c r="B603" s="14"/>
    </row>
    <row r="604" spans="1:2" ht="15.75" customHeight="1" x14ac:dyDescent="0.3">
      <c r="A604" s="1"/>
      <c r="B604" s="14"/>
    </row>
    <row r="605" spans="1:2" ht="15.75" customHeight="1" x14ac:dyDescent="0.3">
      <c r="A605" s="1"/>
      <c r="B605" s="14"/>
    </row>
    <row r="606" spans="1:2" ht="15.75" customHeight="1" x14ac:dyDescent="0.3">
      <c r="A606" s="1"/>
      <c r="B606" s="14"/>
    </row>
    <row r="607" spans="1:2" ht="15.75" customHeight="1" x14ac:dyDescent="0.3">
      <c r="A607" s="1"/>
      <c r="B607" s="14"/>
    </row>
    <row r="608" spans="1:2" ht="15.75" customHeight="1" x14ac:dyDescent="0.3">
      <c r="A608" s="1"/>
      <c r="B608" s="14"/>
    </row>
    <row r="609" spans="1:2" ht="15.75" customHeight="1" x14ac:dyDescent="0.3">
      <c r="A609" s="1"/>
      <c r="B609" s="14"/>
    </row>
    <row r="610" spans="1:2" ht="15.75" customHeight="1" x14ac:dyDescent="0.3">
      <c r="A610" s="1"/>
      <c r="B610" s="14"/>
    </row>
    <row r="611" spans="1:2" ht="15.75" customHeight="1" x14ac:dyDescent="0.3">
      <c r="A611" s="1"/>
      <c r="B611" s="14"/>
    </row>
    <row r="612" spans="1:2" ht="15.75" customHeight="1" x14ac:dyDescent="0.3">
      <c r="A612" s="1"/>
      <c r="B612" s="14"/>
    </row>
    <row r="613" spans="1:2" ht="15.75" customHeight="1" x14ac:dyDescent="0.3">
      <c r="A613" s="1"/>
      <c r="B613" s="14"/>
    </row>
    <row r="614" spans="1:2" ht="15.75" customHeight="1" x14ac:dyDescent="0.3">
      <c r="A614" s="1"/>
      <c r="B614" s="14"/>
    </row>
    <row r="615" spans="1:2" ht="15.75" customHeight="1" x14ac:dyDescent="0.3">
      <c r="A615" s="1"/>
      <c r="B615" s="14"/>
    </row>
    <row r="616" spans="1:2" ht="15.75" customHeight="1" x14ac:dyDescent="0.3">
      <c r="A616" s="1"/>
      <c r="B616" s="14"/>
    </row>
    <row r="617" spans="1:2" ht="15.75" customHeight="1" x14ac:dyDescent="0.3">
      <c r="A617" s="1"/>
      <c r="B617" s="14"/>
    </row>
    <row r="618" spans="1:2" ht="15.75" customHeight="1" x14ac:dyDescent="0.3">
      <c r="A618" s="1"/>
      <c r="B618" s="14"/>
    </row>
    <row r="619" spans="1:2" ht="15.75" customHeight="1" x14ac:dyDescent="0.3">
      <c r="A619" s="1"/>
      <c r="B619" s="14"/>
    </row>
    <row r="620" spans="1:2" ht="15.75" customHeight="1" x14ac:dyDescent="0.3">
      <c r="A620" s="1"/>
      <c r="B620" s="14"/>
    </row>
    <row r="621" spans="1:2" ht="15.75" customHeight="1" x14ac:dyDescent="0.3">
      <c r="A621" s="1"/>
      <c r="B621" s="14"/>
    </row>
    <row r="622" spans="1:2" ht="15.75" customHeight="1" x14ac:dyDescent="0.3">
      <c r="A622" s="1"/>
      <c r="B622" s="14"/>
    </row>
    <row r="623" spans="1:2" ht="15.75" customHeight="1" x14ac:dyDescent="0.3">
      <c r="A623" s="1"/>
      <c r="B623" s="14"/>
    </row>
    <row r="624" spans="1:2" ht="15.75" customHeight="1" x14ac:dyDescent="0.3">
      <c r="A624" s="1"/>
      <c r="B624" s="14"/>
    </row>
    <row r="625" spans="1:2" ht="15.75" customHeight="1" x14ac:dyDescent="0.3">
      <c r="A625" s="1"/>
      <c r="B625" s="14"/>
    </row>
    <row r="626" spans="1:2" ht="15.75" customHeight="1" x14ac:dyDescent="0.3">
      <c r="A626" s="1"/>
      <c r="B626" s="14"/>
    </row>
    <row r="627" spans="1:2" ht="15.75" customHeight="1" x14ac:dyDescent="0.3">
      <c r="A627" s="1"/>
      <c r="B627" s="14"/>
    </row>
    <row r="628" spans="1:2" ht="15.75" customHeight="1" x14ac:dyDescent="0.3">
      <c r="A628" s="1"/>
      <c r="B628" s="14"/>
    </row>
    <row r="629" spans="1:2" ht="15.75" customHeight="1" x14ac:dyDescent="0.3">
      <c r="A629" s="1"/>
      <c r="B629" s="14"/>
    </row>
    <row r="630" spans="1:2" ht="15.75" customHeight="1" x14ac:dyDescent="0.3">
      <c r="A630" s="1"/>
      <c r="B630" s="14"/>
    </row>
    <row r="631" spans="1:2" ht="15.75" customHeight="1" x14ac:dyDescent="0.3">
      <c r="A631" s="1"/>
      <c r="B631" s="14"/>
    </row>
    <row r="632" spans="1:2" ht="15.75" customHeight="1" x14ac:dyDescent="0.3">
      <c r="A632" s="1"/>
      <c r="B632" s="14"/>
    </row>
    <row r="633" spans="1:2" ht="15.75" customHeight="1" x14ac:dyDescent="0.3">
      <c r="A633" s="1"/>
      <c r="B633" s="14"/>
    </row>
    <row r="634" spans="1:2" ht="15.75" customHeight="1" x14ac:dyDescent="0.3">
      <c r="A634" s="1"/>
      <c r="B634" s="14"/>
    </row>
    <row r="635" spans="1:2" ht="15.75" customHeight="1" x14ac:dyDescent="0.3">
      <c r="A635" s="1"/>
      <c r="B635" s="14"/>
    </row>
    <row r="636" spans="1:2" ht="15.75" customHeight="1" x14ac:dyDescent="0.3">
      <c r="A636" s="1"/>
      <c r="B636" s="14"/>
    </row>
    <row r="637" spans="1:2" ht="15.75" customHeight="1" x14ac:dyDescent="0.3">
      <c r="A637" s="1"/>
      <c r="B637" s="14"/>
    </row>
    <row r="638" spans="1:2" ht="15.75" customHeight="1" x14ac:dyDescent="0.3">
      <c r="A638" s="1"/>
      <c r="B638" s="14"/>
    </row>
    <row r="639" spans="1:2" ht="15.75" customHeight="1" x14ac:dyDescent="0.3">
      <c r="A639" s="1"/>
      <c r="B639" s="14"/>
    </row>
    <row r="640" spans="1:2" ht="15.75" customHeight="1" x14ac:dyDescent="0.3">
      <c r="A640" s="1"/>
      <c r="B640" s="14"/>
    </row>
    <row r="641" spans="1:2" ht="15.75" customHeight="1" x14ac:dyDescent="0.3">
      <c r="A641" s="1"/>
      <c r="B641" s="14"/>
    </row>
    <row r="642" spans="1:2" ht="15.75" customHeight="1" x14ac:dyDescent="0.3">
      <c r="A642" s="1"/>
      <c r="B642" s="14"/>
    </row>
    <row r="643" spans="1:2" ht="15.75" customHeight="1" x14ac:dyDescent="0.3">
      <c r="A643" s="1"/>
      <c r="B643" s="14"/>
    </row>
    <row r="644" spans="1:2" ht="15.75" customHeight="1" x14ac:dyDescent="0.3">
      <c r="A644" s="1"/>
      <c r="B644" s="14"/>
    </row>
    <row r="645" spans="1:2" ht="15.75" customHeight="1" x14ac:dyDescent="0.3">
      <c r="A645" s="1"/>
      <c r="B645" s="14"/>
    </row>
    <row r="646" spans="1:2" ht="15.75" customHeight="1" x14ac:dyDescent="0.3">
      <c r="A646" s="1"/>
      <c r="B646" s="14"/>
    </row>
    <row r="647" spans="1:2" ht="15.75" customHeight="1" x14ac:dyDescent="0.3">
      <c r="A647" s="1"/>
      <c r="B647" s="14"/>
    </row>
    <row r="648" spans="1:2" ht="15.75" customHeight="1" x14ac:dyDescent="0.3">
      <c r="A648" s="1"/>
      <c r="B648" s="14"/>
    </row>
    <row r="649" spans="1:2" ht="15.75" customHeight="1" x14ac:dyDescent="0.3">
      <c r="A649" s="1"/>
      <c r="B649" s="14"/>
    </row>
    <row r="650" spans="1:2" ht="15.75" customHeight="1" x14ac:dyDescent="0.3">
      <c r="A650" s="1"/>
      <c r="B650" s="14"/>
    </row>
    <row r="651" spans="1:2" ht="15.75" customHeight="1" x14ac:dyDescent="0.3">
      <c r="A651" s="1"/>
      <c r="B651" s="14"/>
    </row>
    <row r="652" spans="1:2" ht="15.75" customHeight="1" x14ac:dyDescent="0.3">
      <c r="A652" s="1"/>
      <c r="B652" s="14"/>
    </row>
    <row r="653" spans="1:2" ht="15.75" customHeight="1" x14ac:dyDescent="0.3">
      <c r="A653" s="1"/>
      <c r="B653" s="14"/>
    </row>
    <row r="654" spans="1:2" ht="15.75" customHeight="1" x14ac:dyDescent="0.3">
      <c r="A654" s="1"/>
      <c r="B654" s="14"/>
    </row>
    <row r="655" spans="1:2" ht="15.75" customHeight="1" x14ac:dyDescent="0.3">
      <c r="A655" s="1"/>
      <c r="B655" s="14"/>
    </row>
    <row r="656" spans="1:2" ht="15.75" customHeight="1" x14ac:dyDescent="0.3">
      <c r="A656" s="1"/>
      <c r="B656" s="14"/>
    </row>
    <row r="657" spans="1:2" ht="15.75" customHeight="1" x14ac:dyDescent="0.3">
      <c r="A657" s="1"/>
      <c r="B657" s="14"/>
    </row>
    <row r="658" spans="1:2" ht="15.75" customHeight="1" x14ac:dyDescent="0.3">
      <c r="A658" s="1"/>
      <c r="B658" s="14"/>
    </row>
    <row r="659" spans="1:2" ht="15.75" customHeight="1" x14ac:dyDescent="0.3">
      <c r="A659" s="1"/>
      <c r="B659" s="14"/>
    </row>
    <row r="660" spans="1:2" ht="15.75" customHeight="1" x14ac:dyDescent="0.3">
      <c r="A660" s="1"/>
      <c r="B660" s="14"/>
    </row>
    <row r="661" spans="1:2" ht="15.75" customHeight="1" x14ac:dyDescent="0.3">
      <c r="A661" s="1"/>
      <c r="B661" s="14"/>
    </row>
    <row r="662" spans="1:2" ht="15.75" customHeight="1" x14ac:dyDescent="0.3">
      <c r="A662" s="1"/>
      <c r="B662" s="14"/>
    </row>
    <row r="663" spans="1:2" ht="15.75" customHeight="1" x14ac:dyDescent="0.3">
      <c r="A663" s="1"/>
      <c r="B663" s="14"/>
    </row>
    <row r="664" spans="1:2" ht="15.75" customHeight="1" x14ac:dyDescent="0.3">
      <c r="A664" s="1"/>
      <c r="B664" s="14"/>
    </row>
    <row r="665" spans="1:2" ht="15.75" customHeight="1" x14ac:dyDescent="0.3">
      <c r="A665" s="1"/>
      <c r="B665" s="14"/>
    </row>
    <row r="666" spans="1:2" ht="15.75" customHeight="1" x14ac:dyDescent="0.3">
      <c r="A666" s="1"/>
      <c r="B666" s="14"/>
    </row>
    <row r="667" spans="1:2" ht="15.75" customHeight="1" x14ac:dyDescent="0.3">
      <c r="A667" s="1"/>
      <c r="B667" s="14"/>
    </row>
    <row r="668" spans="1:2" ht="15.75" customHeight="1" x14ac:dyDescent="0.3">
      <c r="A668" s="1"/>
      <c r="B668" s="14"/>
    </row>
    <row r="669" spans="1:2" ht="15.75" customHeight="1" x14ac:dyDescent="0.3">
      <c r="A669" s="1"/>
      <c r="B669" s="14"/>
    </row>
    <row r="670" spans="1:2" ht="15.75" customHeight="1" x14ac:dyDescent="0.3">
      <c r="A670" s="1"/>
      <c r="B670" s="14"/>
    </row>
    <row r="671" spans="1:2" ht="15.75" customHeight="1" x14ac:dyDescent="0.3">
      <c r="A671" s="1"/>
      <c r="B671" s="14"/>
    </row>
    <row r="672" spans="1:2" ht="15.75" customHeight="1" x14ac:dyDescent="0.3">
      <c r="A672" s="1"/>
      <c r="B672" s="14"/>
    </row>
    <row r="673" spans="1:2" ht="15.75" customHeight="1" x14ac:dyDescent="0.3">
      <c r="A673" s="1"/>
      <c r="B673" s="14"/>
    </row>
    <row r="674" spans="1:2" ht="15.75" customHeight="1" x14ac:dyDescent="0.3">
      <c r="A674" s="1"/>
      <c r="B674" s="14"/>
    </row>
    <row r="675" spans="1:2" ht="15.75" customHeight="1" x14ac:dyDescent="0.3">
      <c r="A675" s="1"/>
      <c r="B675" s="14"/>
    </row>
    <row r="676" spans="1:2" ht="15.75" customHeight="1" x14ac:dyDescent="0.3">
      <c r="A676" s="1"/>
      <c r="B676" s="14"/>
    </row>
    <row r="677" spans="1:2" ht="15.75" customHeight="1" x14ac:dyDescent="0.3">
      <c r="A677" s="1"/>
      <c r="B677" s="14"/>
    </row>
    <row r="678" spans="1:2" ht="15.75" customHeight="1" x14ac:dyDescent="0.3">
      <c r="A678" s="1"/>
      <c r="B678" s="14"/>
    </row>
    <row r="679" spans="1:2" ht="15.75" customHeight="1" x14ac:dyDescent="0.3">
      <c r="A679" s="1"/>
      <c r="B679" s="14"/>
    </row>
    <row r="680" spans="1:2" ht="15.75" customHeight="1" x14ac:dyDescent="0.3">
      <c r="A680" s="1"/>
      <c r="B680" s="14"/>
    </row>
    <row r="681" spans="1:2" ht="15.75" customHeight="1" x14ac:dyDescent="0.3">
      <c r="A681" s="1"/>
      <c r="B681" s="14"/>
    </row>
    <row r="682" spans="1:2" ht="15.75" customHeight="1" x14ac:dyDescent="0.3">
      <c r="A682" s="1"/>
      <c r="B682" s="14"/>
    </row>
    <row r="683" spans="1:2" ht="15.75" customHeight="1" x14ac:dyDescent="0.3">
      <c r="A683" s="1"/>
      <c r="B683" s="14"/>
    </row>
    <row r="684" spans="1:2" ht="15.75" customHeight="1" x14ac:dyDescent="0.3">
      <c r="A684" s="1"/>
      <c r="B684" s="14"/>
    </row>
    <row r="685" spans="1:2" ht="15.75" customHeight="1" x14ac:dyDescent="0.3">
      <c r="A685" s="1"/>
      <c r="B685" s="14"/>
    </row>
    <row r="686" spans="1:2" ht="15.75" customHeight="1" x14ac:dyDescent="0.3">
      <c r="A686" s="1"/>
      <c r="B686" s="14"/>
    </row>
    <row r="687" spans="1:2" ht="15.75" customHeight="1" x14ac:dyDescent="0.3">
      <c r="A687" s="1"/>
      <c r="B687" s="14"/>
    </row>
    <row r="688" spans="1:2" ht="15.75" customHeight="1" x14ac:dyDescent="0.3">
      <c r="A688" s="1"/>
      <c r="B688" s="14"/>
    </row>
    <row r="689" spans="1:2" ht="15.75" customHeight="1" x14ac:dyDescent="0.3">
      <c r="A689" s="1"/>
      <c r="B689" s="14"/>
    </row>
    <row r="690" spans="1:2" ht="15.75" customHeight="1" x14ac:dyDescent="0.3">
      <c r="A690" s="1"/>
      <c r="B690" s="14"/>
    </row>
    <row r="691" spans="1:2" ht="15.75" customHeight="1" x14ac:dyDescent="0.3">
      <c r="A691" s="1"/>
      <c r="B691" s="14"/>
    </row>
    <row r="692" spans="1:2" ht="15.75" customHeight="1" x14ac:dyDescent="0.3">
      <c r="A692" s="1"/>
      <c r="B692" s="14"/>
    </row>
    <row r="693" spans="1:2" ht="15.75" customHeight="1" x14ac:dyDescent="0.3">
      <c r="A693" s="1"/>
      <c r="B693" s="14"/>
    </row>
    <row r="694" spans="1:2" ht="15.75" customHeight="1" x14ac:dyDescent="0.3">
      <c r="A694" s="1"/>
      <c r="B694" s="14"/>
    </row>
    <row r="695" spans="1:2" ht="15.75" customHeight="1" x14ac:dyDescent="0.3">
      <c r="A695" s="1"/>
      <c r="B695" s="14"/>
    </row>
    <row r="696" spans="1:2" ht="15.75" customHeight="1" x14ac:dyDescent="0.3">
      <c r="A696" s="1"/>
      <c r="B696" s="14"/>
    </row>
    <row r="697" spans="1:2" ht="15.75" customHeight="1" x14ac:dyDescent="0.3">
      <c r="A697" s="1"/>
      <c r="B697" s="14"/>
    </row>
    <row r="698" spans="1:2" ht="15.75" customHeight="1" x14ac:dyDescent="0.3">
      <c r="A698" s="1"/>
      <c r="B698" s="14"/>
    </row>
    <row r="699" spans="1:2" ht="15.75" customHeight="1" x14ac:dyDescent="0.3">
      <c r="A699" s="1"/>
      <c r="B699" s="14"/>
    </row>
    <row r="700" spans="1:2" ht="15.75" customHeight="1" x14ac:dyDescent="0.3">
      <c r="A700" s="1"/>
      <c r="B700" s="14"/>
    </row>
    <row r="701" spans="1:2" ht="15.75" customHeight="1" x14ac:dyDescent="0.3">
      <c r="A701" s="1"/>
      <c r="B701" s="14"/>
    </row>
    <row r="702" spans="1:2" ht="15.75" customHeight="1" x14ac:dyDescent="0.3">
      <c r="A702" s="1"/>
      <c r="B702" s="14"/>
    </row>
    <row r="703" spans="1:2" ht="15.75" customHeight="1" x14ac:dyDescent="0.3">
      <c r="A703" s="1"/>
      <c r="B703" s="14"/>
    </row>
    <row r="704" spans="1:2" ht="15.75" customHeight="1" x14ac:dyDescent="0.3">
      <c r="A704" s="1"/>
      <c r="B704" s="14"/>
    </row>
    <row r="705" spans="1:2" ht="15.75" customHeight="1" x14ac:dyDescent="0.3">
      <c r="A705" s="1"/>
      <c r="B705" s="14"/>
    </row>
    <row r="706" spans="1:2" ht="15.75" customHeight="1" x14ac:dyDescent="0.3">
      <c r="A706" s="1"/>
      <c r="B706" s="14"/>
    </row>
    <row r="707" spans="1:2" ht="15.75" customHeight="1" x14ac:dyDescent="0.3">
      <c r="A707" s="1"/>
      <c r="B707" s="14"/>
    </row>
    <row r="708" spans="1:2" ht="15.75" customHeight="1" x14ac:dyDescent="0.3">
      <c r="A708" s="1"/>
      <c r="B708" s="14"/>
    </row>
    <row r="709" spans="1:2" ht="15.75" customHeight="1" x14ac:dyDescent="0.3">
      <c r="A709" s="1"/>
      <c r="B709" s="14"/>
    </row>
    <row r="710" spans="1:2" ht="15.75" customHeight="1" x14ac:dyDescent="0.3">
      <c r="A710" s="1"/>
      <c r="B710" s="14"/>
    </row>
    <row r="711" spans="1:2" ht="15.75" customHeight="1" x14ac:dyDescent="0.3">
      <c r="A711" s="1"/>
      <c r="B711" s="14"/>
    </row>
    <row r="712" spans="1:2" ht="15.75" customHeight="1" x14ac:dyDescent="0.3">
      <c r="A712" s="1"/>
      <c r="B712" s="14"/>
    </row>
    <row r="713" spans="1:2" ht="15.75" customHeight="1" x14ac:dyDescent="0.3">
      <c r="A713" s="1"/>
      <c r="B713" s="14"/>
    </row>
    <row r="714" spans="1:2" ht="15.75" customHeight="1" x14ac:dyDescent="0.3">
      <c r="A714" s="1"/>
      <c r="B714" s="14"/>
    </row>
    <row r="715" spans="1:2" ht="15.75" customHeight="1" x14ac:dyDescent="0.3">
      <c r="A715" s="1"/>
      <c r="B715" s="14"/>
    </row>
    <row r="716" spans="1:2" ht="15.75" customHeight="1" x14ac:dyDescent="0.3">
      <c r="A716" s="1"/>
      <c r="B716" s="14"/>
    </row>
    <row r="717" spans="1:2" ht="15.75" customHeight="1" x14ac:dyDescent="0.3">
      <c r="A717" s="1"/>
      <c r="B717" s="14"/>
    </row>
    <row r="718" spans="1:2" ht="15.75" customHeight="1" x14ac:dyDescent="0.3">
      <c r="A718" s="1"/>
      <c r="B718" s="14"/>
    </row>
    <row r="719" spans="1:2" ht="15.75" customHeight="1" x14ac:dyDescent="0.3">
      <c r="A719" s="1"/>
      <c r="B719" s="14"/>
    </row>
    <row r="720" spans="1:2" ht="15.75" customHeight="1" x14ac:dyDescent="0.3">
      <c r="A720" s="1"/>
      <c r="B720" s="14"/>
    </row>
    <row r="721" spans="1:2" ht="15.75" customHeight="1" x14ac:dyDescent="0.3">
      <c r="A721" s="1"/>
      <c r="B721" s="14"/>
    </row>
    <row r="722" spans="1:2" ht="15.75" customHeight="1" x14ac:dyDescent="0.3">
      <c r="A722" s="1"/>
      <c r="B722" s="14"/>
    </row>
    <row r="723" spans="1:2" ht="15.75" customHeight="1" x14ac:dyDescent="0.3">
      <c r="A723" s="1"/>
      <c r="B723" s="14"/>
    </row>
    <row r="724" spans="1:2" ht="15.75" customHeight="1" x14ac:dyDescent="0.3">
      <c r="A724" s="1"/>
      <c r="B724" s="14"/>
    </row>
    <row r="725" spans="1:2" ht="15.75" customHeight="1" x14ac:dyDescent="0.3">
      <c r="A725" s="1"/>
      <c r="B725" s="14"/>
    </row>
    <row r="726" spans="1:2" ht="15.75" customHeight="1" x14ac:dyDescent="0.3">
      <c r="A726" s="1"/>
      <c r="B726" s="14"/>
    </row>
    <row r="727" spans="1:2" ht="15.75" customHeight="1" x14ac:dyDescent="0.3">
      <c r="A727" s="1"/>
      <c r="B727" s="14"/>
    </row>
    <row r="728" spans="1:2" ht="15.75" customHeight="1" x14ac:dyDescent="0.3">
      <c r="A728" s="1"/>
      <c r="B728" s="14"/>
    </row>
    <row r="729" spans="1:2" ht="15.75" customHeight="1" x14ac:dyDescent="0.3">
      <c r="A729" s="1"/>
      <c r="B729" s="14"/>
    </row>
    <row r="730" spans="1:2" ht="15.75" customHeight="1" x14ac:dyDescent="0.3">
      <c r="A730" s="1"/>
      <c r="B730" s="14"/>
    </row>
    <row r="731" spans="1:2" ht="15.75" customHeight="1" x14ac:dyDescent="0.3">
      <c r="A731" s="1"/>
      <c r="B731" s="14"/>
    </row>
    <row r="732" spans="1:2" ht="15.75" customHeight="1" x14ac:dyDescent="0.3">
      <c r="A732" s="1"/>
      <c r="B732" s="14"/>
    </row>
    <row r="733" spans="1:2" ht="15.75" customHeight="1" x14ac:dyDescent="0.3">
      <c r="A733" s="1"/>
      <c r="B733" s="14"/>
    </row>
    <row r="734" spans="1:2" ht="15.75" customHeight="1" x14ac:dyDescent="0.3">
      <c r="A734" s="1"/>
      <c r="B734" s="14"/>
    </row>
    <row r="735" spans="1:2" ht="15.75" customHeight="1" x14ac:dyDescent="0.3">
      <c r="A735" s="1"/>
      <c r="B735" s="14"/>
    </row>
    <row r="736" spans="1:2" ht="15.75" customHeight="1" x14ac:dyDescent="0.3">
      <c r="A736" s="1"/>
      <c r="B736" s="14"/>
    </row>
    <row r="737" spans="1:2" ht="15.75" customHeight="1" x14ac:dyDescent="0.3">
      <c r="A737" s="1"/>
      <c r="B737" s="14"/>
    </row>
    <row r="738" spans="1:2" ht="15.75" customHeight="1" x14ac:dyDescent="0.3">
      <c r="A738" s="1"/>
      <c r="B738" s="14"/>
    </row>
    <row r="739" spans="1:2" ht="15.75" customHeight="1" x14ac:dyDescent="0.3">
      <c r="A739" s="1"/>
      <c r="B739" s="14"/>
    </row>
    <row r="740" spans="1:2" ht="15.75" customHeight="1" x14ac:dyDescent="0.3">
      <c r="A740" s="1"/>
      <c r="B740" s="14"/>
    </row>
    <row r="741" spans="1:2" ht="15.75" customHeight="1" x14ac:dyDescent="0.3">
      <c r="A741" s="1"/>
      <c r="B741" s="14"/>
    </row>
    <row r="742" spans="1:2" ht="15.75" customHeight="1" x14ac:dyDescent="0.3">
      <c r="A742" s="1"/>
      <c r="B742" s="14"/>
    </row>
    <row r="743" spans="1:2" ht="15.75" customHeight="1" x14ac:dyDescent="0.3">
      <c r="A743" s="1"/>
      <c r="B743" s="14"/>
    </row>
    <row r="744" spans="1:2" ht="15.75" customHeight="1" x14ac:dyDescent="0.3">
      <c r="A744" s="1"/>
      <c r="B744" s="14"/>
    </row>
    <row r="745" spans="1:2" ht="15.75" customHeight="1" x14ac:dyDescent="0.3">
      <c r="A745" s="1"/>
      <c r="B745" s="14"/>
    </row>
    <row r="746" spans="1:2" ht="15.75" customHeight="1" x14ac:dyDescent="0.3">
      <c r="A746" s="1"/>
      <c r="B746" s="14"/>
    </row>
    <row r="747" spans="1:2" ht="15.75" customHeight="1" x14ac:dyDescent="0.3">
      <c r="A747" s="1"/>
      <c r="B747" s="14"/>
    </row>
    <row r="748" spans="1:2" ht="15.75" customHeight="1" x14ac:dyDescent="0.3">
      <c r="A748" s="1"/>
      <c r="B748" s="14"/>
    </row>
    <row r="749" spans="1:2" ht="15.75" customHeight="1" x14ac:dyDescent="0.3">
      <c r="A749" s="1"/>
      <c r="B749" s="14"/>
    </row>
    <row r="750" spans="1:2" ht="15.75" customHeight="1" x14ac:dyDescent="0.3">
      <c r="A750" s="1"/>
      <c r="B750" s="14"/>
    </row>
    <row r="751" spans="1:2" ht="15.75" customHeight="1" x14ac:dyDescent="0.3">
      <c r="A751" s="1"/>
      <c r="B751" s="14"/>
    </row>
    <row r="752" spans="1:2" ht="15.75" customHeight="1" x14ac:dyDescent="0.3">
      <c r="A752" s="1"/>
      <c r="B752" s="14"/>
    </row>
    <row r="753" spans="1:2" ht="15.75" customHeight="1" x14ac:dyDescent="0.3">
      <c r="A753" s="1"/>
      <c r="B753" s="14"/>
    </row>
    <row r="754" spans="1:2" ht="15.75" customHeight="1" x14ac:dyDescent="0.3">
      <c r="A754" s="1"/>
      <c r="B754" s="14"/>
    </row>
    <row r="755" spans="1:2" ht="15.75" customHeight="1" x14ac:dyDescent="0.3">
      <c r="A755" s="1"/>
      <c r="B755" s="14"/>
    </row>
    <row r="756" spans="1:2" ht="15.75" customHeight="1" x14ac:dyDescent="0.3">
      <c r="A756" s="1"/>
      <c r="B756" s="14"/>
    </row>
    <row r="757" spans="1:2" ht="15.75" customHeight="1" x14ac:dyDescent="0.3">
      <c r="A757" s="1"/>
      <c r="B757" s="14"/>
    </row>
    <row r="758" spans="1:2" ht="15.75" customHeight="1" x14ac:dyDescent="0.3">
      <c r="A758" s="1"/>
      <c r="B758" s="14"/>
    </row>
    <row r="759" spans="1:2" ht="15.75" customHeight="1" x14ac:dyDescent="0.3">
      <c r="A759" s="1"/>
      <c r="B759" s="14"/>
    </row>
    <row r="760" spans="1:2" ht="15.75" customHeight="1" x14ac:dyDescent="0.3">
      <c r="A760" s="1"/>
      <c r="B760" s="14"/>
    </row>
    <row r="761" spans="1:2" ht="15.75" customHeight="1" x14ac:dyDescent="0.3">
      <c r="A761" s="1"/>
      <c r="B761" s="14"/>
    </row>
    <row r="762" spans="1:2" ht="15.75" customHeight="1" x14ac:dyDescent="0.3">
      <c r="A762" s="1"/>
      <c r="B762" s="14"/>
    </row>
    <row r="763" spans="1:2" ht="15.75" customHeight="1" x14ac:dyDescent="0.3">
      <c r="A763" s="1"/>
      <c r="B763" s="14"/>
    </row>
    <row r="764" spans="1:2" ht="15.75" customHeight="1" x14ac:dyDescent="0.3">
      <c r="A764" s="1"/>
      <c r="B764" s="14"/>
    </row>
    <row r="765" spans="1:2" ht="15.75" customHeight="1" x14ac:dyDescent="0.3">
      <c r="A765" s="1"/>
      <c r="B765" s="14"/>
    </row>
    <row r="766" spans="1:2" ht="15.75" customHeight="1" x14ac:dyDescent="0.3">
      <c r="A766" s="1"/>
      <c r="B766" s="14"/>
    </row>
    <row r="767" spans="1:2" ht="15.75" customHeight="1" x14ac:dyDescent="0.3">
      <c r="A767" s="1"/>
      <c r="B767" s="14"/>
    </row>
    <row r="768" spans="1:2" ht="15.75" customHeight="1" x14ac:dyDescent="0.3">
      <c r="A768" s="1"/>
      <c r="B768" s="14"/>
    </row>
    <row r="769" spans="1:2" ht="15.75" customHeight="1" x14ac:dyDescent="0.3">
      <c r="A769" s="1"/>
      <c r="B769" s="14"/>
    </row>
    <row r="770" spans="1:2" ht="15.75" customHeight="1" x14ac:dyDescent="0.3">
      <c r="A770" s="1"/>
      <c r="B770" s="14"/>
    </row>
    <row r="771" spans="1:2" ht="15.75" customHeight="1" x14ac:dyDescent="0.3">
      <c r="A771" s="1"/>
      <c r="B771" s="14"/>
    </row>
    <row r="772" spans="1:2" ht="15.75" customHeight="1" x14ac:dyDescent="0.3">
      <c r="A772" s="1"/>
      <c r="B772" s="14"/>
    </row>
    <row r="773" spans="1:2" ht="15.75" customHeight="1" x14ac:dyDescent="0.3">
      <c r="A773" s="1"/>
      <c r="B773" s="14"/>
    </row>
    <row r="774" spans="1:2" ht="15.75" customHeight="1" x14ac:dyDescent="0.3">
      <c r="A774" s="1"/>
      <c r="B774" s="14"/>
    </row>
    <row r="775" spans="1:2" ht="15.75" customHeight="1" x14ac:dyDescent="0.3">
      <c r="A775" s="1"/>
      <c r="B775" s="14"/>
    </row>
    <row r="776" spans="1:2" ht="15.75" customHeight="1" x14ac:dyDescent="0.3">
      <c r="A776" s="1"/>
      <c r="B776" s="14"/>
    </row>
    <row r="777" spans="1:2" ht="15.75" customHeight="1" x14ac:dyDescent="0.3">
      <c r="A777" s="1"/>
      <c r="B777" s="14"/>
    </row>
    <row r="778" spans="1:2" ht="15.75" customHeight="1" x14ac:dyDescent="0.3">
      <c r="A778" s="1"/>
      <c r="B778" s="14"/>
    </row>
    <row r="779" spans="1:2" ht="15.75" customHeight="1" x14ac:dyDescent="0.3">
      <c r="A779" s="1"/>
      <c r="B779" s="14"/>
    </row>
    <row r="780" spans="1:2" ht="15.75" customHeight="1" x14ac:dyDescent="0.3">
      <c r="A780" s="1"/>
      <c r="B780" s="14"/>
    </row>
    <row r="781" spans="1:2" ht="15.75" customHeight="1" x14ac:dyDescent="0.3">
      <c r="A781" s="1"/>
      <c r="B781" s="14"/>
    </row>
    <row r="782" spans="1:2" ht="15.75" customHeight="1" x14ac:dyDescent="0.3">
      <c r="A782" s="1"/>
      <c r="B782" s="14"/>
    </row>
    <row r="783" spans="1:2" ht="15.75" customHeight="1" x14ac:dyDescent="0.3">
      <c r="A783" s="1"/>
      <c r="B783" s="14"/>
    </row>
    <row r="784" spans="1:2" ht="15.75" customHeight="1" x14ac:dyDescent="0.3">
      <c r="A784" s="1"/>
      <c r="B784" s="14"/>
    </row>
    <row r="785" spans="1:2" ht="15.75" customHeight="1" x14ac:dyDescent="0.3">
      <c r="A785" s="1"/>
      <c r="B785" s="14"/>
    </row>
    <row r="786" spans="1:2" ht="15.75" customHeight="1" x14ac:dyDescent="0.3">
      <c r="A786" s="1"/>
      <c r="B786" s="14"/>
    </row>
    <row r="787" spans="1:2" ht="15.75" customHeight="1" x14ac:dyDescent="0.3">
      <c r="A787" s="1"/>
      <c r="B787" s="14"/>
    </row>
    <row r="788" spans="1:2" ht="15.75" customHeight="1" x14ac:dyDescent="0.3">
      <c r="A788" s="1"/>
      <c r="B788" s="14"/>
    </row>
    <row r="789" spans="1:2" ht="15.75" customHeight="1" x14ac:dyDescent="0.3">
      <c r="A789" s="1"/>
      <c r="B789" s="14"/>
    </row>
    <row r="790" spans="1:2" ht="15.75" customHeight="1" x14ac:dyDescent="0.3">
      <c r="A790" s="1"/>
      <c r="B790" s="14"/>
    </row>
    <row r="791" spans="1:2" ht="15.75" customHeight="1" x14ac:dyDescent="0.3">
      <c r="A791" s="1"/>
      <c r="B791" s="14"/>
    </row>
    <row r="792" spans="1:2" ht="15.75" customHeight="1" x14ac:dyDescent="0.3">
      <c r="A792" s="1"/>
      <c r="B792" s="14"/>
    </row>
    <row r="793" spans="1:2" ht="15.75" customHeight="1" x14ac:dyDescent="0.3">
      <c r="A793" s="1"/>
      <c r="B793" s="14"/>
    </row>
    <row r="794" spans="1:2" ht="15.75" customHeight="1" x14ac:dyDescent="0.3">
      <c r="A794" s="1"/>
      <c r="B794" s="14"/>
    </row>
    <row r="795" spans="1:2" ht="15.75" customHeight="1" x14ac:dyDescent="0.3">
      <c r="A795" s="1"/>
      <c r="B795" s="14"/>
    </row>
    <row r="796" spans="1:2" ht="15.75" customHeight="1" x14ac:dyDescent="0.3">
      <c r="A796" s="1"/>
      <c r="B796" s="14"/>
    </row>
    <row r="797" spans="1:2" ht="15.75" customHeight="1" x14ac:dyDescent="0.3">
      <c r="A797" s="1"/>
      <c r="B797" s="14"/>
    </row>
    <row r="798" spans="1:2" ht="15.75" customHeight="1" x14ac:dyDescent="0.3">
      <c r="A798" s="1"/>
      <c r="B798" s="14"/>
    </row>
    <row r="799" spans="1:2" ht="15.75" customHeight="1" x14ac:dyDescent="0.3">
      <c r="A799" s="1"/>
      <c r="B799" s="14"/>
    </row>
    <row r="800" spans="1:2" ht="15.75" customHeight="1" x14ac:dyDescent="0.3">
      <c r="A800" s="1"/>
      <c r="B800" s="14"/>
    </row>
    <row r="801" spans="1:2" ht="15.75" customHeight="1" x14ac:dyDescent="0.3">
      <c r="A801" s="1"/>
      <c r="B801" s="14"/>
    </row>
    <row r="802" spans="1:2" ht="15.75" customHeight="1" x14ac:dyDescent="0.3">
      <c r="A802" s="1"/>
      <c r="B802" s="14"/>
    </row>
    <row r="803" spans="1:2" ht="15.75" customHeight="1" x14ac:dyDescent="0.3">
      <c r="A803" s="1"/>
      <c r="B803" s="14"/>
    </row>
    <row r="804" spans="1:2" ht="15.75" customHeight="1" x14ac:dyDescent="0.3">
      <c r="A804" s="1"/>
      <c r="B804" s="14"/>
    </row>
    <row r="805" spans="1:2" ht="15.75" customHeight="1" x14ac:dyDescent="0.3">
      <c r="A805" s="1"/>
      <c r="B805" s="14"/>
    </row>
    <row r="806" spans="1:2" ht="15.75" customHeight="1" x14ac:dyDescent="0.3">
      <c r="A806" s="1"/>
      <c r="B806" s="14"/>
    </row>
    <row r="807" spans="1:2" ht="15.75" customHeight="1" x14ac:dyDescent="0.3">
      <c r="A807" s="1"/>
      <c r="B807" s="14"/>
    </row>
    <row r="808" spans="1:2" ht="15.75" customHeight="1" x14ac:dyDescent="0.3">
      <c r="A808" s="1"/>
      <c r="B808" s="14"/>
    </row>
    <row r="809" spans="1:2" ht="15.75" customHeight="1" x14ac:dyDescent="0.3">
      <c r="A809" s="1"/>
      <c r="B809" s="14"/>
    </row>
    <row r="810" spans="1:2" ht="15.75" customHeight="1" x14ac:dyDescent="0.3">
      <c r="A810" s="1"/>
      <c r="B810" s="14"/>
    </row>
    <row r="811" spans="1:2" ht="15.75" customHeight="1" x14ac:dyDescent="0.3">
      <c r="A811" s="1"/>
      <c r="B811" s="14"/>
    </row>
    <row r="812" spans="1:2" ht="15.75" customHeight="1" x14ac:dyDescent="0.3">
      <c r="A812" s="1"/>
      <c r="B812" s="14"/>
    </row>
    <row r="813" spans="1:2" ht="15.75" customHeight="1" x14ac:dyDescent="0.3">
      <c r="A813" s="1"/>
      <c r="B813" s="14"/>
    </row>
    <row r="814" spans="1:2" ht="15.75" customHeight="1" x14ac:dyDescent="0.3">
      <c r="A814" s="1"/>
      <c r="B814" s="14"/>
    </row>
    <row r="815" spans="1:2" ht="15.75" customHeight="1" x14ac:dyDescent="0.3">
      <c r="A815" s="1"/>
      <c r="B815" s="14"/>
    </row>
    <row r="816" spans="1:2" ht="15.75" customHeight="1" x14ac:dyDescent="0.3">
      <c r="A816" s="1"/>
      <c r="B816" s="14"/>
    </row>
    <row r="817" spans="1:2" ht="15.75" customHeight="1" x14ac:dyDescent="0.3">
      <c r="A817" s="1"/>
      <c r="B817" s="14"/>
    </row>
    <row r="818" spans="1:2" ht="15.75" customHeight="1" x14ac:dyDescent="0.3">
      <c r="A818" s="1"/>
      <c r="B818" s="14"/>
    </row>
    <row r="819" spans="1:2" ht="15.75" customHeight="1" x14ac:dyDescent="0.3">
      <c r="A819" s="1"/>
      <c r="B819" s="14"/>
    </row>
    <row r="820" spans="1:2" ht="15.75" customHeight="1" x14ac:dyDescent="0.3">
      <c r="A820" s="1"/>
      <c r="B820" s="14"/>
    </row>
    <row r="821" spans="1:2" ht="15.75" customHeight="1" x14ac:dyDescent="0.3">
      <c r="A821" s="1"/>
      <c r="B821" s="14"/>
    </row>
    <row r="822" spans="1:2" ht="15.75" customHeight="1" x14ac:dyDescent="0.3">
      <c r="A822" s="1"/>
      <c r="B822" s="14"/>
    </row>
    <row r="823" spans="1:2" ht="15.75" customHeight="1" x14ac:dyDescent="0.3">
      <c r="A823" s="1"/>
      <c r="B823" s="14"/>
    </row>
    <row r="824" spans="1:2" ht="15.75" customHeight="1" x14ac:dyDescent="0.3">
      <c r="A824" s="1"/>
      <c r="B824" s="14"/>
    </row>
    <row r="825" spans="1:2" ht="15.75" customHeight="1" x14ac:dyDescent="0.3">
      <c r="A825" s="1"/>
      <c r="B825" s="14"/>
    </row>
    <row r="826" spans="1:2" ht="15.75" customHeight="1" x14ac:dyDescent="0.3">
      <c r="A826" s="1"/>
      <c r="B826" s="14"/>
    </row>
    <row r="827" spans="1:2" ht="15.75" customHeight="1" x14ac:dyDescent="0.3">
      <c r="A827" s="1"/>
      <c r="B827" s="14"/>
    </row>
    <row r="828" spans="1:2" ht="15.75" customHeight="1" x14ac:dyDescent="0.3">
      <c r="A828" s="1"/>
      <c r="B828" s="14"/>
    </row>
    <row r="829" spans="1:2" ht="15.75" customHeight="1" x14ac:dyDescent="0.3">
      <c r="A829" s="1"/>
      <c r="B829" s="14"/>
    </row>
    <row r="830" spans="1:2" ht="15.75" customHeight="1" x14ac:dyDescent="0.3">
      <c r="A830" s="1"/>
      <c r="B830" s="14"/>
    </row>
    <row r="831" spans="1:2" ht="15.75" customHeight="1" x14ac:dyDescent="0.3">
      <c r="A831" s="1"/>
      <c r="B831" s="14"/>
    </row>
    <row r="832" spans="1:2" ht="15.75" customHeight="1" x14ac:dyDescent="0.3">
      <c r="A832" s="1"/>
      <c r="B832" s="14"/>
    </row>
    <row r="833" spans="1:2" ht="15.75" customHeight="1" x14ac:dyDescent="0.3">
      <c r="A833" s="1"/>
      <c r="B833" s="14"/>
    </row>
    <row r="834" spans="1:2" ht="15.75" customHeight="1" x14ac:dyDescent="0.3">
      <c r="A834" s="1"/>
      <c r="B834" s="14"/>
    </row>
    <row r="835" spans="1:2" ht="15.75" customHeight="1" x14ac:dyDescent="0.3">
      <c r="A835" s="1"/>
      <c r="B835" s="14"/>
    </row>
    <row r="836" spans="1:2" ht="15.75" customHeight="1" x14ac:dyDescent="0.3">
      <c r="A836" s="1"/>
      <c r="B836" s="14"/>
    </row>
    <row r="837" spans="1:2" ht="15.75" customHeight="1" x14ac:dyDescent="0.3">
      <c r="A837" s="1"/>
      <c r="B837" s="14"/>
    </row>
    <row r="838" spans="1:2" ht="15.75" customHeight="1" x14ac:dyDescent="0.3">
      <c r="A838" s="1"/>
      <c r="B838" s="14"/>
    </row>
    <row r="839" spans="1:2" ht="15.75" customHeight="1" x14ac:dyDescent="0.3">
      <c r="A839" s="1"/>
      <c r="B839" s="14"/>
    </row>
    <row r="840" spans="1:2" ht="15.75" customHeight="1" x14ac:dyDescent="0.3">
      <c r="A840" s="1"/>
      <c r="B840" s="14"/>
    </row>
    <row r="841" spans="1:2" ht="15.75" customHeight="1" x14ac:dyDescent="0.3">
      <c r="A841" s="1"/>
      <c r="B841" s="14"/>
    </row>
    <row r="842" spans="1:2" ht="15.75" customHeight="1" x14ac:dyDescent="0.3">
      <c r="A842" s="1"/>
      <c r="B842" s="14"/>
    </row>
    <row r="843" spans="1:2" ht="15.75" customHeight="1" x14ac:dyDescent="0.3">
      <c r="A843" s="1"/>
      <c r="B843" s="14"/>
    </row>
    <row r="844" spans="1:2" ht="15.75" customHeight="1" x14ac:dyDescent="0.3">
      <c r="A844" s="1"/>
      <c r="B844" s="14"/>
    </row>
    <row r="845" spans="1:2" ht="15.75" customHeight="1" x14ac:dyDescent="0.3">
      <c r="A845" s="1"/>
      <c r="B845" s="14"/>
    </row>
    <row r="846" spans="1:2" ht="15.75" customHeight="1" x14ac:dyDescent="0.3">
      <c r="A846" s="1"/>
      <c r="B846" s="14"/>
    </row>
    <row r="847" spans="1:2" ht="15.75" customHeight="1" x14ac:dyDescent="0.3">
      <c r="A847" s="1"/>
      <c r="B847" s="14"/>
    </row>
    <row r="848" spans="1:2" ht="15.75" customHeight="1" x14ac:dyDescent="0.3">
      <c r="A848" s="1"/>
      <c r="B848" s="14"/>
    </row>
    <row r="849" spans="1:2" ht="15.75" customHeight="1" x14ac:dyDescent="0.3">
      <c r="A849" s="1"/>
      <c r="B849" s="14"/>
    </row>
    <row r="850" spans="1:2" ht="15.75" customHeight="1" x14ac:dyDescent="0.3">
      <c r="A850" s="1"/>
      <c r="B850" s="14"/>
    </row>
    <row r="851" spans="1:2" ht="15.75" customHeight="1" x14ac:dyDescent="0.3">
      <c r="A851" s="1"/>
      <c r="B851" s="14"/>
    </row>
    <row r="852" spans="1:2" ht="15.75" customHeight="1" x14ac:dyDescent="0.3">
      <c r="A852" s="1"/>
      <c r="B852" s="14"/>
    </row>
    <row r="853" spans="1:2" ht="15.75" customHeight="1" x14ac:dyDescent="0.3">
      <c r="A853" s="1"/>
      <c r="B853" s="14"/>
    </row>
    <row r="854" spans="1:2" ht="15.75" customHeight="1" x14ac:dyDescent="0.3">
      <c r="A854" s="1"/>
      <c r="B854" s="14"/>
    </row>
    <row r="855" spans="1:2" ht="15.75" customHeight="1" x14ac:dyDescent="0.3">
      <c r="A855" s="1"/>
      <c r="B855" s="14"/>
    </row>
    <row r="856" spans="1:2" ht="15.75" customHeight="1" x14ac:dyDescent="0.3">
      <c r="A856" s="1"/>
      <c r="B856" s="14"/>
    </row>
    <row r="857" spans="1:2" ht="15.75" customHeight="1" x14ac:dyDescent="0.3">
      <c r="A857" s="1"/>
      <c r="B857" s="14"/>
    </row>
    <row r="858" spans="1:2" ht="15.75" customHeight="1" x14ac:dyDescent="0.3">
      <c r="A858" s="1"/>
      <c r="B858" s="14"/>
    </row>
    <row r="859" spans="1:2" ht="15.75" customHeight="1" x14ac:dyDescent="0.3">
      <c r="A859" s="1"/>
      <c r="B859" s="14"/>
    </row>
    <row r="860" spans="1:2" ht="15.75" customHeight="1" x14ac:dyDescent="0.3">
      <c r="A860" s="1"/>
      <c r="B860" s="14"/>
    </row>
    <row r="861" spans="1:2" ht="15.75" customHeight="1" x14ac:dyDescent="0.3">
      <c r="A861" s="1"/>
      <c r="B861" s="14"/>
    </row>
    <row r="862" spans="1:2" ht="15.75" customHeight="1" x14ac:dyDescent="0.3">
      <c r="A862" s="1"/>
      <c r="B862" s="14"/>
    </row>
    <row r="863" spans="1:2" ht="15.75" customHeight="1" x14ac:dyDescent="0.3">
      <c r="A863" s="1"/>
      <c r="B863" s="14"/>
    </row>
    <row r="864" spans="1:2" ht="15.75" customHeight="1" x14ac:dyDescent="0.3">
      <c r="A864" s="1"/>
      <c r="B864" s="14"/>
    </row>
    <row r="865" spans="1:2" ht="15.75" customHeight="1" x14ac:dyDescent="0.3">
      <c r="A865" s="1"/>
      <c r="B865" s="14"/>
    </row>
    <row r="866" spans="1:2" ht="15.75" customHeight="1" x14ac:dyDescent="0.3">
      <c r="A866" s="1"/>
      <c r="B866" s="14"/>
    </row>
    <row r="867" spans="1:2" ht="15.75" customHeight="1" x14ac:dyDescent="0.3">
      <c r="A867" s="1"/>
      <c r="B867" s="14"/>
    </row>
    <row r="868" spans="1:2" ht="15.75" customHeight="1" x14ac:dyDescent="0.3">
      <c r="A868" s="1"/>
      <c r="B868" s="14"/>
    </row>
    <row r="869" spans="1:2" ht="15.75" customHeight="1" x14ac:dyDescent="0.3">
      <c r="A869" s="1"/>
      <c r="B869" s="14"/>
    </row>
    <row r="870" spans="1:2" ht="15.75" customHeight="1" x14ac:dyDescent="0.3">
      <c r="A870" s="1"/>
      <c r="B870" s="14"/>
    </row>
    <row r="871" spans="1:2" ht="15.75" customHeight="1" x14ac:dyDescent="0.3">
      <c r="A871" s="1"/>
      <c r="B871" s="14"/>
    </row>
    <row r="872" spans="1:2" ht="15.75" customHeight="1" x14ac:dyDescent="0.3">
      <c r="A872" s="1"/>
      <c r="B872" s="14"/>
    </row>
    <row r="873" spans="1:2" ht="15.75" customHeight="1" x14ac:dyDescent="0.3">
      <c r="A873" s="1"/>
      <c r="B873" s="14"/>
    </row>
    <row r="874" spans="1:2" ht="15.75" customHeight="1" x14ac:dyDescent="0.3">
      <c r="A874" s="1"/>
      <c r="B874" s="14"/>
    </row>
    <row r="875" spans="1:2" ht="15.75" customHeight="1" x14ac:dyDescent="0.3">
      <c r="A875" s="1"/>
      <c r="B875" s="14"/>
    </row>
    <row r="876" spans="1:2" ht="15.75" customHeight="1" x14ac:dyDescent="0.3">
      <c r="A876" s="1"/>
      <c r="B876" s="14"/>
    </row>
    <row r="877" spans="1:2" ht="15.75" customHeight="1" x14ac:dyDescent="0.3">
      <c r="A877" s="1"/>
      <c r="B877" s="14"/>
    </row>
    <row r="878" spans="1:2" ht="15.75" customHeight="1" x14ac:dyDescent="0.3">
      <c r="A878" s="1"/>
      <c r="B878" s="14"/>
    </row>
    <row r="879" spans="1:2" ht="15.75" customHeight="1" x14ac:dyDescent="0.3">
      <c r="A879" s="1"/>
      <c r="B879" s="14"/>
    </row>
    <row r="880" spans="1:2" ht="15.75" customHeight="1" x14ac:dyDescent="0.3">
      <c r="A880" s="1"/>
      <c r="B880" s="14"/>
    </row>
    <row r="881" spans="1:2" ht="15.75" customHeight="1" x14ac:dyDescent="0.3">
      <c r="A881" s="1"/>
      <c r="B881" s="14"/>
    </row>
    <row r="882" spans="1:2" ht="15.75" customHeight="1" x14ac:dyDescent="0.3">
      <c r="A882" s="1"/>
      <c r="B882" s="14"/>
    </row>
    <row r="883" spans="1:2" ht="15.75" customHeight="1" x14ac:dyDescent="0.3">
      <c r="A883" s="1"/>
      <c r="B883" s="14"/>
    </row>
    <row r="884" spans="1:2" ht="15.75" customHeight="1" x14ac:dyDescent="0.3">
      <c r="A884" s="1"/>
      <c r="B884" s="14"/>
    </row>
    <row r="885" spans="1:2" ht="15.75" customHeight="1" x14ac:dyDescent="0.3">
      <c r="A885" s="1"/>
      <c r="B885" s="14"/>
    </row>
    <row r="886" spans="1:2" ht="15.75" customHeight="1" x14ac:dyDescent="0.3">
      <c r="A886" s="1"/>
      <c r="B886" s="14"/>
    </row>
    <row r="887" spans="1:2" ht="15.75" customHeight="1" x14ac:dyDescent="0.3">
      <c r="A887" s="1"/>
      <c r="B887" s="14"/>
    </row>
    <row r="888" spans="1:2" ht="15.75" customHeight="1" x14ac:dyDescent="0.3">
      <c r="A888" s="1"/>
      <c r="B888" s="14"/>
    </row>
    <row r="889" spans="1:2" ht="15.75" customHeight="1" x14ac:dyDescent="0.3">
      <c r="A889" s="1"/>
      <c r="B889" s="14"/>
    </row>
    <row r="890" spans="1:2" ht="15.75" customHeight="1" x14ac:dyDescent="0.3">
      <c r="A890" s="1"/>
      <c r="B890" s="14"/>
    </row>
    <row r="891" spans="1:2" ht="15.75" customHeight="1" x14ac:dyDescent="0.3">
      <c r="A891" s="1"/>
      <c r="B891" s="14"/>
    </row>
    <row r="892" spans="1:2" ht="15.75" customHeight="1" x14ac:dyDescent="0.3">
      <c r="A892" s="1"/>
      <c r="B892" s="14"/>
    </row>
    <row r="893" spans="1:2" ht="15.75" customHeight="1" x14ac:dyDescent="0.3">
      <c r="A893" s="1"/>
      <c r="B893" s="14"/>
    </row>
    <row r="894" spans="1:2" ht="15.75" customHeight="1" x14ac:dyDescent="0.3">
      <c r="A894" s="1"/>
      <c r="B894" s="14"/>
    </row>
    <row r="895" spans="1:2" ht="15.75" customHeight="1" x14ac:dyDescent="0.3">
      <c r="A895" s="1"/>
      <c r="B895" s="14"/>
    </row>
    <row r="896" spans="1:2" ht="15.75" customHeight="1" x14ac:dyDescent="0.3">
      <c r="A896" s="1"/>
      <c r="B896" s="14"/>
    </row>
    <row r="897" spans="1:2" ht="15.75" customHeight="1" x14ac:dyDescent="0.3">
      <c r="A897" s="1"/>
      <c r="B897" s="14"/>
    </row>
    <row r="898" spans="1:2" ht="15.75" customHeight="1" x14ac:dyDescent="0.3">
      <c r="A898" s="1"/>
      <c r="B898" s="14"/>
    </row>
    <row r="899" spans="1:2" ht="15.75" customHeight="1" x14ac:dyDescent="0.3">
      <c r="A899" s="1"/>
      <c r="B899" s="14"/>
    </row>
    <row r="900" spans="1:2" ht="15.75" customHeight="1" x14ac:dyDescent="0.3">
      <c r="A900" s="1"/>
      <c r="B900" s="14"/>
    </row>
    <row r="901" spans="1:2" ht="15.75" customHeight="1" x14ac:dyDescent="0.3">
      <c r="A901" s="1"/>
      <c r="B901" s="14"/>
    </row>
    <row r="902" spans="1:2" ht="15.75" customHeight="1" x14ac:dyDescent="0.3">
      <c r="A902" s="1"/>
      <c r="B902" s="14"/>
    </row>
    <row r="903" spans="1:2" ht="15.75" customHeight="1" x14ac:dyDescent="0.3">
      <c r="A903" s="1"/>
      <c r="B903" s="14"/>
    </row>
    <row r="904" spans="1:2" ht="15.75" customHeight="1" x14ac:dyDescent="0.3">
      <c r="A904" s="1"/>
      <c r="B904" s="14"/>
    </row>
    <row r="905" spans="1:2" ht="15.75" customHeight="1" x14ac:dyDescent="0.3">
      <c r="A905" s="1"/>
      <c r="B905" s="14"/>
    </row>
    <row r="906" spans="1:2" ht="15.75" customHeight="1" x14ac:dyDescent="0.3">
      <c r="A906" s="1"/>
      <c r="B906" s="14"/>
    </row>
    <row r="907" spans="1:2" ht="15.75" customHeight="1" x14ac:dyDescent="0.3">
      <c r="A907" s="1"/>
      <c r="B907" s="14"/>
    </row>
    <row r="908" spans="1:2" ht="15.75" customHeight="1" x14ac:dyDescent="0.3">
      <c r="A908" s="1"/>
      <c r="B908" s="14"/>
    </row>
    <row r="909" spans="1:2" ht="15.75" customHeight="1" x14ac:dyDescent="0.3">
      <c r="A909" s="1"/>
      <c r="B909" s="14"/>
    </row>
    <row r="910" spans="1:2" ht="15.75" customHeight="1" x14ac:dyDescent="0.3">
      <c r="A910" s="1"/>
      <c r="B910" s="14"/>
    </row>
    <row r="911" spans="1:2" ht="15.75" customHeight="1" x14ac:dyDescent="0.3">
      <c r="A911" s="1"/>
      <c r="B911" s="14"/>
    </row>
    <row r="912" spans="1:2" ht="15.75" customHeight="1" x14ac:dyDescent="0.3">
      <c r="A912" s="1"/>
      <c r="B912" s="14"/>
    </row>
    <row r="913" spans="1:2" ht="15.75" customHeight="1" x14ac:dyDescent="0.3">
      <c r="A913" s="1"/>
      <c r="B913" s="14"/>
    </row>
    <row r="914" spans="1:2" ht="15.75" customHeight="1" x14ac:dyDescent="0.3">
      <c r="A914" s="1"/>
      <c r="B914" s="14"/>
    </row>
    <row r="915" spans="1:2" ht="15.75" customHeight="1" x14ac:dyDescent="0.3">
      <c r="A915" s="1"/>
      <c r="B915" s="14"/>
    </row>
    <row r="916" spans="1:2" ht="15.75" customHeight="1" x14ac:dyDescent="0.3">
      <c r="A916" s="1"/>
      <c r="B916" s="14"/>
    </row>
    <row r="917" spans="1:2" ht="15.75" customHeight="1" x14ac:dyDescent="0.3">
      <c r="A917" s="1"/>
      <c r="B917" s="14"/>
    </row>
    <row r="918" spans="1:2" ht="15.75" customHeight="1" x14ac:dyDescent="0.3">
      <c r="A918" s="1"/>
      <c r="B918" s="14"/>
    </row>
    <row r="919" spans="1:2" ht="15.75" customHeight="1" x14ac:dyDescent="0.3">
      <c r="A919" s="1"/>
      <c r="B919" s="14"/>
    </row>
    <row r="920" spans="1:2" ht="15.75" customHeight="1" x14ac:dyDescent="0.3">
      <c r="A920" s="1"/>
      <c r="B920" s="14"/>
    </row>
    <row r="921" spans="1:2" ht="15.75" customHeight="1" x14ac:dyDescent="0.3">
      <c r="A921" s="1"/>
      <c r="B921" s="14"/>
    </row>
    <row r="922" spans="1:2" ht="15.75" customHeight="1" x14ac:dyDescent="0.3">
      <c r="A922" s="1"/>
      <c r="B922" s="14"/>
    </row>
    <row r="923" spans="1:2" ht="15.75" customHeight="1" x14ac:dyDescent="0.3">
      <c r="A923" s="1"/>
      <c r="B923" s="14"/>
    </row>
    <row r="924" spans="1:2" ht="15.75" customHeight="1" x14ac:dyDescent="0.3">
      <c r="A924" s="1"/>
      <c r="B924" s="14"/>
    </row>
    <row r="925" spans="1:2" ht="15.75" customHeight="1" x14ac:dyDescent="0.3">
      <c r="A925" s="1"/>
      <c r="B925" s="14"/>
    </row>
    <row r="926" spans="1:2" ht="15.75" customHeight="1" x14ac:dyDescent="0.3">
      <c r="A926" s="1"/>
      <c r="B926" s="14"/>
    </row>
    <row r="927" spans="1:2" ht="15.75" customHeight="1" x14ac:dyDescent="0.3">
      <c r="A927" s="1"/>
      <c r="B927" s="14"/>
    </row>
    <row r="928" spans="1:2" ht="15.75" customHeight="1" x14ac:dyDescent="0.3">
      <c r="A928" s="1"/>
      <c r="B928" s="14"/>
    </row>
    <row r="929" spans="1:2" ht="15.75" customHeight="1" x14ac:dyDescent="0.3">
      <c r="A929" s="1"/>
      <c r="B929" s="14"/>
    </row>
    <row r="930" spans="1:2" ht="15.75" customHeight="1" x14ac:dyDescent="0.3">
      <c r="A930" s="1"/>
      <c r="B930" s="14"/>
    </row>
    <row r="931" spans="1:2" ht="15.75" customHeight="1" x14ac:dyDescent="0.3">
      <c r="A931" s="1"/>
      <c r="B931" s="14"/>
    </row>
    <row r="932" spans="1:2" ht="15.75" customHeight="1" x14ac:dyDescent="0.3">
      <c r="A932" s="1"/>
      <c r="B932" s="14"/>
    </row>
    <row r="933" spans="1:2" ht="15.75" customHeight="1" x14ac:dyDescent="0.3">
      <c r="A933" s="1"/>
      <c r="B933" s="14"/>
    </row>
    <row r="934" spans="1:2" ht="15.75" customHeight="1" x14ac:dyDescent="0.3">
      <c r="A934" s="1"/>
      <c r="B934" s="14"/>
    </row>
    <row r="935" spans="1:2" ht="15.75" customHeight="1" x14ac:dyDescent="0.3">
      <c r="A935" s="1"/>
      <c r="B935" s="14"/>
    </row>
    <row r="936" spans="1:2" ht="15.75" customHeight="1" x14ac:dyDescent="0.3">
      <c r="A936" s="1"/>
      <c r="B936" s="14"/>
    </row>
    <row r="937" spans="1:2" ht="15.75" customHeight="1" x14ac:dyDescent="0.3">
      <c r="A937" s="1"/>
      <c r="B937" s="14"/>
    </row>
    <row r="938" spans="1:2" ht="15.75" customHeight="1" x14ac:dyDescent="0.3">
      <c r="A938" s="1"/>
      <c r="B938" s="14"/>
    </row>
    <row r="939" spans="1:2" ht="15.75" customHeight="1" x14ac:dyDescent="0.3">
      <c r="A939" s="1"/>
      <c r="B939" s="14"/>
    </row>
    <row r="940" spans="1:2" ht="15.75" customHeight="1" x14ac:dyDescent="0.3">
      <c r="A940" s="1"/>
      <c r="B940" s="14"/>
    </row>
    <row r="941" spans="1:2" ht="15.75" customHeight="1" x14ac:dyDescent="0.3">
      <c r="A941" s="1"/>
      <c r="B941" s="14"/>
    </row>
    <row r="942" spans="1:2" ht="15.75" customHeight="1" x14ac:dyDescent="0.3">
      <c r="A942" s="1"/>
      <c r="B942" s="14"/>
    </row>
    <row r="943" spans="1:2" ht="15.75" customHeight="1" x14ac:dyDescent="0.3">
      <c r="A943" s="1"/>
      <c r="B943" s="14"/>
    </row>
    <row r="944" spans="1:2" ht="15.75" customHeight="1" x14ac:dyDescent="0.3">
      <c r="A944" s="1"/>
      <c r="B944" s="14"/>
    </row>
    <row r="945" spans="1:2" ht="15.75" customHeight="1" x14ac:dyDescent="0.3">
      <c r="A945" s="1"/>
      <c r="B945" s="14"/>
    </row>
    <row r="946" spans="1:2" ht="15.75" customHeight="1" x14ac:dyDescent="0.3">
      <c r="A946" s="1"/>
      <c r="B946" s="14"/>
    </row>
    <row r="947" spans="1:2" ht="15.75" customHeight="1" x14ac:dyDescent="0.3">
      <c r="A947" s="1"/>
      <c r="B947" s="14"/>
    </row>
    <row r="948" spans="1:2" ht="15.75" customHeight="1" x14ac:dyDescent="0.3">
      <c r="A948" s="1"/>
      <c r="B948" s="14"/>
    </row>
    <row r="949" spans="1:2" ht="15.75" customHeight="1" x14ac:dyDescent="0.3">
      <c r="A949" s="1"/>
      <c r="B949" s="14"/>
    </row>
    <row r="950" spans="1:2" ht="15.75" customHeight="1" x14ac:dyDescent="0.3">
      <c r="A950" s="1"/>
      <c r="B950" s="14"/>
    </row>
    <row r="951" spans="1:2" ht="15.75" customHeight="1" x14ac:dyDescent="0.3">
      <c r="A951" s="1"/>
      <c r="B951" s="14"/>
    </row>
    <row r="952" spans="1:2" ht="15.75" customHeight="1" x14ac:dyDescent="0.3">
      <c r="A952" s="1"/>
      <c r="B952" s="14"/>
    </row>
    <row r="953" spans="1:2" ht="15.75" customHeight="1" x14ac:dyDescent="0.3">
      <c r="A953" s="1"/>
      <c r="B953" s="14"/>
    </row>
    <row r="954" spans="1:2" ht="15.75" customHeight="1" x14ac:dyDescent="0.3">
      <c r="A954" s="1"/>
      <c r="B954" s="14"/>
    </row>
    <row r="955" spans="1:2" ht="15.75" customHeight="1" x14ac:dyDescent="0.3">
      <c r="A955" s="1"/>
      <c r="B955" s="14"/>
    </row>
    <row r="956" spans="1:2" ht="15.75" customHeight="1" x14ac:dyDescent="0.3">
      <c r="A956" s="1"/>
      <c r="B956" s="14"/>
    </row>
    <row r="957" spans="1:2" ht="15.75" customHeight="1" x14ac:dyDescent="0.3">
      <c r="A957" s="1"/>
      <c r="B957" s="14"/>
    </row>
    <row r="958" spans="1:2" ht="15.75" customHeight="1" x14ac:dyDescent="0.3">
      <c r="A958" s="1"/>
      <c r="B958" s="14"/>
    </row>
    <row r="959" spans="1:2" ht="15.75" customHeight="1" x14ac:dyDescent="0.3">
      <c r="A959" s="1"/>
      <c r="B959" s="14"/>
    </row>
    <row r="960" spans="1:2" ht="15.75" customHeight="1" x14ac:dyDescent="0.3">
      <c r="A960" s="1"/>
      <c r="B960" s="14"/>
    </row>
    <row r="961" spans="1:2" ht="15.75" customHeight="1" x14ac:dyDescent="0.3">
      <c r="A961" s="1"/>
      <c r="B961" s="14"/>
    </row>
    <row r="962" spans="1:2" ht="15.75" customHeight="1" x14ac:dyDescent="0.3">
      <c r="A962" s="1"/>
      <c r="B962" s="14"/>
    </row>
    <row r="963" spans="1:2" ht="15.75" customHeight="1" x14ac:dyDescent="0.3">
      <c r="A963" s="1"/>
      <c r="B963" s="14"/>
    </row>
    <row r="964" spans="1:2" ht="15.75" customHeight="1" x14ac:dyDescent="0.3">
      <c r="A964" s="1"/>
      <c r="B964" s="14"/>
    </row>
    <row r="965" spans="1:2" ht="15.75" customHeight="1" x14ac:dyDescent="0.3">
      <c r="A965" s="1"/>
      <c r="B965" s="14"/>
    </row>
    <row r="966" spans="1:2" ht="15.75" customHeight="1" x14ac:dyDescent="0.3">
      <c r="A966" s="1"/>
      <c r="B966" s="14"/>
    </row>
    <row r="967" spans="1:2" ht="15.75" customHeight="1" x14ac:dyDescent="0.3">
      <c r="A967" s="1"/>
      <c r="B967" s="14"/>
    </row>
    <row r="968" spans="1:2" ht="15.75" customHeight="1" x14ac:dyDescent="0.3">
      <c r="A968" s="1"/>
      <c r="B968" s="14"/>
    </row>
    <row r="969" spans="1:2" ht="15.75" customHeight="1" x14ac:dyDescent="0.3">
      <c r="A969" s="1"/>
      <c r="B969" s="14"/>
    </row>
    <row r="970" spans="1:2" ht="15.75" customHeight="1" x14ac:dyDescent="0.3">
      <c r="A970" s="1"/>
      <c r="B970" s="14"/>
    </row>
    <row r="971" spans="1:2" ht="15.75" customHeight="1" x14ac:dyDescent="0.3">
      <c r="A971" s="1"/>
      <c r="B971" s="14"/>
    </row>
    <row r="972" spans="1:2" ht="15.75" customHeight="1" x14ac:dyDescent="0.3">
      <c r="A972" s="1"/>
      <c r="B972" s="14"/>
    </row>
    <row r="973" spans="1:2" ht="15.75" customHeight="1" x14ac:dyDescent="0.3">
      <c r="A973" s="1"/>
      <c r="B973" s="14"/>
    </row>
    <row r="974" spans="1:2" ht="15.75" customHeight="1" x14ac:dyDescent="0.3">
      <c r="A974" s="1"/>
      <c r="B974" s="14"/>
    </row>
    <row r="975" spans="1:2" ht="15.75" customHeight="1" x14ac:dyDescent="0.3">
      <c r="A975" s="1"/>
      <c r="B975" s="14"/>
    </row>
    <row r="976" spans="1:2" ht="15.75" customHeight="1" x14ac:dyDescent="0.3">
      <c r="A976" s="1"/>
      <c r="B976" s="14"/>
    </row>
    <row r="977" spans="1:2" ht="15.75" customHeight="1" x14ac:dyDescent="0.3">
      <c r="A977" s="1"/>
      <c r="B977" s="14"/>
    </row>
    <row r="978" spans="1:2" ht="15.75" customHeight="1" x14ac:dyDescent="0.3">
      <c r="A978" s="1"/>
      <c r="B978" s="14"/>
    </row>
    <row r="979" spans="1:2" ht="15.75" customHeight="1" x14ac:dyDescent="0.3">
      <c r="A979" s="1"/>
      <c r="B979" s="14"/>
    </row>
    <row r="980" spans="1:2" ht="15.75" customHeight="1" x14ac:dyDescent="0.3">
      <c r="A980" s="1"/>
      <c r="B980" s="14"/>
    </row>
    <row r="981" spans="1:2" ht="15.75" customHeight="1" x14ac:dyDescent="0.3">
      <c r="A981" s="1"/>
      <c r="B981" s="14"/>
    </row>
    <row r="982" spans="1:2" ht="15.75" customHeight="1" x14ac:dyDescent="0.3">
      <c r="A982" s="1"/>
      <c r="B982" s="14"/>
    </row>
    <row r="983" spans="1:2" ht="15.75" customHeight="1" x14ac:dyDescent="0.3">
      <c r="A983" s="1"/>
      <c r="B983" s="14"/>
    </row>
    <row r="984" spans="1:2" ht="15.75" customHeight="1" x14ac:dyDescent="0.3">
      <c r="A984" s="1"/>
      <c r="B984" s="14"/>
    </row>
    <row r="985" spans="1:2" ht="15.75" customHeight="1" x14ac:dyDescent="0.3">
      <c r="A985" s="1"/>
      <c r="B985" s="14"/>
    </row>
    <row r="986" spans="1:2" ht="15.75" customHeight="1" x14ac:dyDescent="0.3">
      <c r="A986" s="1"/>
      <c r="B986" s="14"/>
    </row>
    <row r="987" spans="1:2" ht="15.75" customHeight="1" x14ac:dyDescent="0.3">
      <c r="A987" s="1"/>
      <c r="B987" s="14"/>
    </row>
    <row r="988" spans="1:2" ht="15.75" customHeight="1" x14ac:dyDescent="0.3">
      <c r="A988" s="1"/>
      <c r="B988" s="14"/>
    </row>
    <row r="989" spans="1:2" ht="15.75" customHeight="1" x14ac:dyDescent="0.3">
      <c r="A989" s="1"/>
      <c r="B989" s="14"/>
    </row>
    <row r="990" spans="1:2" ht="15.75" customHeight="1" x14ac:dyDescent="0.3">
      <c r="A990" s="1"/>
      <c r="B990" s="14"/>
    </row>
    <row r="991" spans="1:2" ht="15.75" customHeight="1" x14ac:dyDescent="0.3">
      <c r="A991" s="1"/>
      <c r="B991" s="14"/>
    </row>
    <row r="992" spans="1:2" ht="15.75" customHeight="1" x14ac:dyDescent="0.3">
      <c r="A992" s="1"/>
      <c r="B992" s="14"/>
    </row>
    <row r="993" spans="1:2" ht="15.75" customHeight="1" x14ac:dyDescent="0.3">
      <c r="A993" s="1"/>
      <c r="B993" s="14"/>
    </row>
    <row r="994" spans="1:2" ht="15.75" customHeight="1" x14ac:dyDescent="0.3">
      <c r="A994" s="1"/>
      <c r="B994" s="14"/>
    </row>
    <row r="995" spans="1:2" ht="15.75" customHeight="1" x14ac:dyDescent="0.3">
      <c r="A995" s="1"/>
      <c r="B995" s="14"/>
    </row>
    <row r="996" spans="1:2" ht="15.75" customHeight="1" x14ac:dyDescent="0.3">
      <c r="A996" s="1"/>
      <c r="B996" s="14"/>
    </row>
    <row r="997" spans="1:2" ht="15.75" customHeight="1" x14ac:dyDescent="0.3">
      <c r="A997" s="1"/>
      <c r="B997" s="14"/>
    </row>
    <row r="998" spans="1:2" ht="15.75" customHeight="1" x14ac:dyDescent="0.3">
      <c r="A998" s="1"/>
      <c r="B998" s="14"/>
    </row>
    <row r="999" spans="1:2" ht="15.75" customHeight="1" x14ac:dyDescent="0.3">
      <c r="A999" s="1"/>
      <c r="B999" s="14"/>
    </row>
    <row r="1000" spans="1:2" ht="15.75" customHeight="1" x14ac:dyDescent="0.3">
      <c r="A1000" s="1"/>
      <c r="B1000" s="14"/>
    </row>
  </sheetData>
  <mergeCells count="16">
    <mergeCell ref="B6:C6"/>
    <mergeCell ref="B7:C7"/>
    <mergeCell ref="B18:C18"/>
    <mergeCell ref="B19:C19"/>
    <mergeCell ref="B9:C9"/>
    <mergeCell ref="B10:C10"/>
    <mergeCell ref="B12:C12"/>
    <mergeCell ref="B13:C13"/>
    <mergeCell ref="B14:C14"/>
    <mergeCell ref="B15:C15"/>
    <mergeCell ref="B17:C17"/>
    <mergeCell ref="B1:C1"/>
    <mergeCell ref="B2:C2"/>
    <mergeCell ref="B3:C3"/>
    <mergeCell ref="B4:C4"/>
    <mergeCell ref="B5:C5"/>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EAAE6-6974-4420-B89B-373C72390533}">
  <dimension ref="A3:E90"/>
  <sheetViews>
    <sheetView topLeftCell="A34" zoomScale="90" workbookViewId="0">
      <selection activeCell="G59" sqref="G59"/>
    </sheetView>
  </sheetViews>
  <sheetFormatPr defaultRowHeight="14.4" x14ac:dyDescent="0.3"/>
  <cols>
    <col min="1" max="1" width="35.5546875" bestFit="1" customWidth="1"/>
    <col min="2" max="2" width="15.77734375" bestFit="1" customWidth="1"/>
    <col min="3" max="3" width="10" bestFit="1" customWidth="1"/>
    <col min="4" max="4" width="4.6640625" bestFit="1" customWidth="1"/>
    <col min="5" max="5" width="11" bestFit="1" customWidth="1"/>
  </cols>
  <sheetData>
    <row r="3" spans="1:2" x14ac:dyDescent="0.3">
      <c r="A3" s="22" t="s">
        <v>68</v>
      </c>
      <c r="B3" t="s">
        <v>71</v>
      </c>
    </row>
    <row r="4" spans="1:2" x14ac:dyDescent="0.3">
      <c r="A4" s="23" t="s">
        <v>28</v>
      </c>
      <c r="B4" s="20">
        <v>350.15</v>
      </c>
    </row>
    <row r="5" spans="1:2" x14ac:dyDescent="0.3">
      <c r="A5" s="23" t="s">
        <v>60</v>
      </c>
      <c r="B5" s="20">
        <v>308.80999999999995</v>
      </c>
    </row>
    <row r="6" spans="1:2" x14ac:dyDescent="0.3">
      <c r="A6" s="23" t="s">
        <v>61</v>
      </c>
      <c r="B6" s="20">
        <v>345.93000000000012</v>
      </c>
    </row>
    <row r="7" spans="1:2" x14ac:dyDescent="0.3">
      <c r="A7" s="23" t="s">
        <v>62</v>
      </c>
      <c r="B7" s="20">
        <v>384.40999999999997</v>
      </c>
    </row>
    <row r="8" spans="1:2" x14ac:dyDescent="0.3">
      <c r="A8" s="23" t="s">
        <v>63</v>
      </c>
      <c r="B8" s="20">
        <v>476.90999999999997</v>
      </c>
    </row>
    <row r="9" spans="1:2" x14ac:dyDescent="0.3">
      <c r="A9" s="23" t="s">
        <v>64</v>
      </c>
      <c r="B9" s="20">
        <v>412.15000000000009</v>
      </c>
    </row>
    <row r="10" spans="1:2" x14ac:dyDescent="0.3">
      <c r="A10" s="23" t="s">
        <v>65</v>
      </c>
      <c r="B10" s="20">
        <v>424.61</v>
      </c>
    </row>
    <row r="11" spans="1:2" x14ac:dyDescent="0.3">
      <c r="A11" s="23" t="s">
        <v>66</v>
      </c>
      <c r="B11" s="20">
        <v>437.50000000000006</v>
      </c>
    </row>
    <row r="12" spans="1:2" x14ac:dyDescent="0.3">
      <c r="A12" s="23" t="s">
        <v>69</v>
      </c>
      <c r="B12" s="20">
        <v>3140.4700000000003</v>
      </c>
    </row>
    <row r="19" spans="1:2" x14ac:dyDescent="0.3">
      <c r="A19" s="16" t="s">
        <v>68</v>
      </c>
      <c r="B19" t="s">
        <v>71</v>
      </c>
    </row>
    <row r="20" spans="1:2" x14ac:dyDescent="0.3">
      <c r="A20" s="17" t="s">
        <v>55</v>
      </c>
      <c r="B20" s="20">
        <v>755.23000000000025</v>
      </c>
    </row>
    <row r="21" spans="1:2" x14ac:dyDescent="0.3">
      <c r="A21" s="17" t="s">
        <v>52</v>
      </c>
      <c r="B21" s="20">
        <v>683.78999999999985</v>
      </c>
    </row>
    <row r="22" spans="1:2" x14ac:dyDescent="0.3">
      <c r="A22" s="17" t="s">
        <v>58</v>
      </c>
      <c r="B22" s="20">
        <v>440.2000000000001</v>
      </c>
    </row>
    <row r="23" spans="1:2" x14ac:dyDescent="0.3">
      <c r="A23" s="17" t="s">
        <v>59</v>
      </c>
      <c r="B23" s="20">
        <v>367.41</v>
      </c>
    </row>
    <row r="24" spans="1:2" x14ac:dyDescent="0.3">
      <c r="A24" s="17" t="s">
        <v>29</v>
      </c>
      <c r="B24" s="20">
        <v>893.84000000000015</v>
      </c>
    </row>
    <row r="25" spans="1:2" x14ac:dyDescent="0.3">
      <c r="A25" s="17" t="s">
        <v>69</v>
      </c>
      <c r="B25" s="20">
        <v>3140.4700000000003</v>
      </c>
    </row>
    <row r="35" spans="1:5" x14ac:dyDescent="0.3">
      <c r="A35" s="16" t="s">
        <v>68</v>
      </c>
      <c r="B35" t="s">
        <v>70</v>
      </c>
    </row>
    <row r="36" spans="1:5" x14ac:dyDescent="0.3">
      <c r="A36" s="17" t="s">
        <v>40</v>
      </c>
      <c r="B36" s="20">
        <v>630.06999999999982</v>
      </c>
    </row>
    <row r="37" spans="1:5" x14ac:dyDescent="0.3">
      <c r="A37" s="17" t="s">
        <v>49</v>
      </c>
      <c r="B37" s="20">
        <v>108.00999999999998</v>
      </c>
    </row>
    <row r="38" spans="1:5" x14ac:dyDescent="0.3">
      <c r="A38" s="17" t="s">
        <v>30</v>
      </c>
      <c r="B38" s="20">
        <v>360.77999999999992</v>
      </c>
    </row>
    <row r="39" spans="1:5" x14ac:dyDescent="0.3">
      <c r="A39" s="17" t="s">
        <v>69</v>
      </c>
      <c r="B39" s="20">
        <v>1098.8599999999997</v>
      </c>
    </row>
    <row r="42" spans="1:5" x14ac:dyDescent="0.3">
      <c r="A42" s="16" t="s">
        <v>80</v>
      </c>
      <c r="B42" s="16" t="s">
        <v>79</v>
      </c>
    </row>
    <row r="43" spans="1:5" x14ac:dyDescent="0.3">
      <c r="A43" s="16" t="s">
        <v>68</v>
      </c>
      <c r="B43" t="s">
        <v>57</v>
      </c>
      <c r="C43" t="s">
        <v>33</v>
      </c>
      <c r="D43" t="s">
        <v>43</v>
      </c>
      <c r="E43" t="s">
        <v>69</v>
      </c>
    </row>
    <row r="44" spans="1:5" x14ac:dyDescent="0.3">
      <c r="A44" s="17" t="s">
        <v>55</v>
      </c>
      <c r="B44" s="25">
        <v>7.45</v>
      </c>
      <c r="C44" s="25">
        <v>7.65</v>
      </c>
      <c r="D44" s="25">
        <v>7.8</v>
      </c>
      <c r="E44" s="25">
        <v>7.6916666666666655</v>
      </c>
    </row>
    <row r="45" spans="1:5" x14ac:dyDescent="0.3">
      <c r="A45" s="17" t="s">
        <v>52</v>
      </c>
      <c r="B45" s="25">
        <v>8.35</v>
      </c>
      <c r="C45" s="25">
        <v>7.9411764705882355</v>
      </c>
      <c r="D45" s="25">
        <v>7.4124999999999979</v>
      </c>
      <c r="E45" s="25">
        <v>7.7234042553191493</v>
      </c>
    </row>
    <row r="46" spans="1:5" x14ac:dyDescent="0.3">
      <c r="A46" s="17" t="s">
        <v>58</v>
      </c>
      <c r="B46" s="25">
        <v>7.82</v>
      </c>
      <c r="C46" s="25">
        <v>8.0562500000000004</v>
      </c>
      <c r="D46" s="25">
        <v>7.6409090909090907</v>
      </c>
      <c r="E46" s="25">
        <v>7.8166666666666691</v>
      </c>
    </row>
    <row r="47" spans="1:5" x14ac:dyDescent="0.3">
      <c r="A47" s="17" t="s">
        <v>59</v>
      </c>
      <c r="B47" s="25">
        <v>7.4142857142857137</v>
      </c>
      <c r="C47" s="25">
        <v>7.6</v>
      </c>
      <c r="D47" s="25">
        <v>7.1961538461538463</v>
      </c>
      <c r="E47" s="25">
        <v>7.354166666666667</v>
      </c>
    </row>
    <row r="48" spans="1:5" x14ac:dyDescent="0.3">
      <c r="A48" s="17" t="s">
        <v>29</v>
      </c>
      <c r="B48" s="25">
        <v>7.1499999999999995</v>
      </c>
      <c r="C48" s="25">
        <v>7.9625000000000004</v>
      </c>
      <c r="D48" s="25">
        <v>7.865384615384615</v>
      </c>
      <c r="E48" s="25">
        <v>7.8083333333333345</v>
      </c>
    </row>
    <row r="49" spans="1:5" x14ac:dyDescent="0.3">
      <c r="A49" s="17" t="s">
        <v>69</v>
      </c>
      <c r="B49" s="25">
        <v>7.6405405405405418</v>
      </c>
      <c r="C49" s="25">
        <v>7.8462500000000022</v>
      </c>
      <c r="D49" s="25">
        <v>7.5803278688524607</v>
      </c>
      <c r="E49" s="25">
        <v>7.6786610878661099</v>
      </c>
    </row>
    <row r="53" spans="1:5" x14ac:dyDescent="0.3">
      <c r="A53" s="16" t="s">
        <v>68</v>
      </c>
      <c r="B53" t="s">
        <v>71</v>
      </c>
      <c r="C53" t="s">
        <v>72</v>
      </c>
    </row>
    <row r="54" spans="1:5" x14ac:dyDescent="0.3">
      <c r="A54" s="17" t="s">
        <v>28</v>
      </c>
      <c r="B54" s="20">
        <v>350.15</v>
      </c>
      <c r="C54" s="20">
        <v>206.88</v>
      </c>
    </row>
    <row r="55" spans="1:5" x14ac:dyDescent="0.3">
      <c r="A55" s="17" t="s">
        <v>60</v>
      </c>
      <c r="B55" s="20">
        <v>308.80999999999995</v>
      </c>
      <c r="C55" s="20">
        <v>177.39</v>
      </c>
    </row>
    <row r="56" spans="1:5" x14ac:dyDescent="0.3">
      <c r="A56" s="17" t="s">
        <v>61</v>
      </c>
      <c r="B56" s="20">
        <v>345.93000000000012</v>
      </c>
      <c r="C56" s="20">
        <v>233.08</v>
      </c>
    </row>
    <row r="57" spans="1:5" x14ac:dyDescent="0.3">
      <c r="A57" s="17" t="s">
        <v>62</v>
      </c>
      <c r="B57" s="20">
        <v>384.40999999999997</v>
      </c>
      <c r="C57" s="20">
        <v>260.99</v>
      </c>
    </row>
    <row r="58" spans="1:5" x14ac:dyDescent="0.3">
      <c r="A58" s="17" t="s">
        <v>63</v>
      </c>
      <c r="B58" s="20">
        <v>476.90999999999997</v>
      </c>
      <c r="C58" s="20">
        <v>320.77999999999997</v>
      </c>
    </row>
    <row r="59" spans="1:5" x14ac:dyDescent="0.3">
      <c r="A59" s="17" t="s">
        <v>64</v>
      </c>
      <c r="B59" s="20">
        <v>412.15000000000009</v>
      </c>
      <c r="C59" s="20">
        <v>266.14999999999998</v>
      </c>
    </row>
    <row r="60" spans="1:5" x14ac:dyDescent="0.3">
      <c r="A60" s="17" t="s">
        <v>65</v>
      </c>
      <c r="B60" s="20">
        <v>424.61</v>
      </c>
      <c r="C60" s="20">
        <v>283.29000000000002</v>
      </c>
    </row>
    <row r="61" spans="1:5" x14ac:dyDescent="0.3">
      <c r="A61" s="17" t="s">
        <v>66</v>
      </c>
      <c r="B61" s="20">
        <v>437.50000000000006</v>
      </c>
      <c r="C61" s="20">
        <v>293.05</v>
      </c>
    </row>
    <row r="62" spans="1:5" x14ac:dyDescent="0.3">
      <c r="A62" s="17" t="s">
        <v>69</v>
      </c>
      <c r="B62" s="20">
        <v>3140.4700000000003</v>
      </c>
      <c r="C62" s="20">
        <v>2041.61</v>
      </c>
    </row>
    <row r="71" spans="1:2" x14ac:dyDescent="0.3">
      <c r="A71" s="16" t="s">
        <v>68</v>
      </c>
      <c r="B71" t="s">
        <v>78</v>
      </c>
    </row>
    <row r="72" spans="1:2" x14ac:dyDescent="0.3">
      <c r="A72" s="17" t="s">
        <v>46</v>
      </c>
      <c r="B72" s="20">
        <v>106011</v>
      </c>
    </row>
    <row r="73" spans="1:2" x14ac:dyDescent="0.3">
      <c r="A73" s="17" t="s">
        <v>56</v>
      </c>
      <c r="B73" s="20">
        <v>78005</v>
      </c>
    </row>
    <row r="74" spans="1:2" x14ac:dyDescent="0.3">
      <c r="A74" s="17" t="s">
        <v>53</v>
      </c>
      <c r="B74" s="20">
        <v>83134</v>
      </c>
    </row>
    <row r="75" spans="1:2" x14ac:dyDescent="0.3">
      <c r="A75" s="17" t="s">
        <v>32</v>
      </c>
      <c r="B75" s="20">
        <v>103219</v>
      </c>
    </row>
    <row r="76" spans="1:2" x14ac:dyDescent="0.3">
      <c r="A76" s="17" t="s">
        <v>37</v>
      </c>
      <c r="B76" s="20">
        <v>89361</v>
      </c>
    </row>
    <row r="77" spans="1:2" x14ac:dyDescent="0.3">
      <c r="A77" s="17" t="s">
        <v>51</v>
      </c>
      <c r="B77" s="20">
        <v>100035</v>
      </c>
    </row>
    <row r="78" spans="1:2" x14ac:dyDescent="0.3">
      <c r="A78" s="17" t="s">
        <v>50</v>
      </c>
      <c r="B78" s="20">
        <v>98485</v>
      </c>
    </row>
    <row r="79" spans="1:2" x14ac:dyDescent="0.3">
      <c r="A79" s="17" t="s">
        <v>42</v>
      </c>
      <c r="B79" s="20">
        <v>93109</v>
      </c>
    </row>
    <row r="80" spans="1:2" x14ac:dyDescent="0.3">
      <c r="A80" s="17" t="s">
        <v>54</v>
      </c>
      <c r="B80" s="20">
        <v>77587</v>
      </c>
    </row>
    <row r="81" spans="1:2" x14ac:dyDescent="0.3">
      <c r="A81" s="17" t="s">
        <v>69</v>
      </c>
      <c r="B81" s="20">
        <v>828946</v>
      </c>
    </row>
    <row r="86" spans="1:2" x14ac:dyDescent="0.3">
      <c r="A86" s="18" t="s">
        <v>73</v>
      </c>
    </row>
    <row r="87" spans="1:2" x14ac:dyDescent="0.3">
      <c r="A87" s="19" t="s">
        <v>74</v>
      </c>
      <c r="B87" s="20">
        <f>GETPIVOTDATA("Revenue_USD_Million",$A$3)</f>
        <v>3140.4700000000003</v>
      </c>
    </row>
    <row r="88" spans="1:2" x14ac:dyDescent="0.3">
      <c r="A88" s="19" t="s">
        <v>75</v>
      </c>
      <c r="B88" s="24">
        <f>GETPIVOTDATA("Units_Sold",$A$71)</f>
        <v>828946</v>
      </c>
    </row>
    <row r="89" spans="1:2" x14ac:dyDescent="0.3">
      <c r="A89" s="19" t="s">
        <v>76</v>
      </c>
      <c r="B89" s="20">
        <f>GETPIVOTDATA("Sum of Operating_Cost_USD_Million",$A$53)</f>
        <v>2041.61</v>
      </c>
    </row>
    <row r="90" spans="1:2" x14ac:dyDescent="0.3">
      <c r="A90" s="19" t="s">
        <v>77</v>
      </c>
      <c r="B90" s="20">
        <f>GETPIVOTDATA("Profit",$A$35)</f>
        <v>1098.8599999999997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84992-9C02-4E4B-9080-813E0BDA6861}">
  <dimension ref="H17"/>
  <sheetViews>
    <sheetView showGridLines="0" zoomScale="70" zoomScaleNormal="70" zoomScaleSheetLayoutView="70" workbookViewId="0">
      <selection activeCell="AB28" sqref="AB28"/>
    </sheetView>
  </sheetViews>
  <sheetFormatPr defaultRowHeight="14.4" x14ac:dyDescent="0.3"/>
  <cols>
    <col min="2" max="2" width="2.77734375" customWidth="1"/>
    <col min="3" max="3" width="12.21875" customWidth="1"/>
  </cols>
  <sheetData>
    <row r="17" spans="8:8" x14ac:dyDescent="0.3">
      <c r="H17"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01726-6809-4792-AFB2-6802E22EAF4B}">
  <dimension ref="A1:K84"/>
  <sheetViews>
    <sheetView zoomScale="80" zoomScaleNormal="80" workbookViewId="0">
      <selection activeCell="B35" sqref="B35:C35"/>
    </sheetView>
  </sheetViews>
  <sheetFormatPr defaultRowHeight="14.4" x14ac:dyDescent="0.3"/>
  <cols>
    <col min="1" max="1" width="24" style="26" customWidth="1"/>
    <col min="2" max="2" width="29.44140625" style="26" customWidth="1"/>
    <col min="3" max="3" width="17" style="26" customWidth="1"/>
    <col min="4" max="4" width="14" style="26" customWidth="1"/>
    <col min="5" max="6" width="13" style="26" customWidth="1"/>
    <col min="7" max="7" width="8.77734375" style="26"/>
    <col min="8" max="8" width="24" style="26" customWidth="1"/>
    <col min="9" max="9" width="12" style="26" customWidth="1"/>
    <col min="10" max="11" width="14" style="26" customWidth="1"/>
  </cols>
  <sheetData>
    <row r="1" spans="1:11" ht="17.399999999999999" x14ac:dyDescent="0.35">
      <c r="A1" s="53" t="s">
        <v>81</v>
      </c>
      <c r="B1" s="49"/>
      <c r="C1" s="49"/>
      <c r="D1" s="49"/>
      <c r="E1" s="49"/>
      <c r="F1" s="49"/>
      <c r="H1" s="54" t="s">
        <v>107</v>
      </c>
      <c r="I1" s="49"/>
      <c r="J1" s="49"/>
      <c r="K1" s="49"/>
    </row>
    <row r="2" spans="1:11" ht="4.95" customHeight="1" x14ac:dyDescent="0.3"/>
    <row r="3" spans="1:11" ht="28.5" customHeight="1" x14ac:dyDescent="0.3">
      <c r="A3" s="30" t="s">
        <v>82</v>
      </c>
      <c r="B3" s="31" t="s">
        <v>83</v>
      </c>
      <c r="H3" s="32" t="s">
        <v>9</v>
      </c>
      <c r="I3" s="32" t="s">
        <v>108</v>
      </c>
      <c r="J3" s="32" t="s">
        <v>109</v>
      </c>
      <c r="K3" s="32" t="s">
        <v>110</v>
      </c>
    </row>
    <row r="4" spans="1:11" ht="28.8" x14ac:dyDescent="0.3">
      <c r="A4" s="30" t="s">
        <v>84</v>
      </c>
      <c r="B4" s="31" t="s">
        <v>85</v>
      </c>
      <c r="H4" s="27" t="str">
        <f>[1]Dataset!C16</f>
        <v>Asia Pacific</v>
      </c>
      <c r="I4" s="27">
        <f>Dataset!J16</f>
        <v>8.4</v>
      </c>
      <c r="J4" s="27">
        <f t="shared" ref="J4:J67" si="0">I4-$C$16</f>
        <v>0.55375000000000085</v>
      </c>
      <c r="K4" s="27">
        <f t="shared" ref="K4:K67" si="1">J4^2</f>
        <v>0.30663906250000095</v>
      </c>
    </row>
    <row r="5" spans="1:11" ht="28.8" x14ac:dyDescent="0.3">
      <c r="A5" s="30" t="s">
        <v>86</v>
      </c>
      <c r="B5" s="31" t="s">
        <v>87</v>
      </c>
      <c r="H5" s="27" t="str">
        <f>[1]Dataset!C18</f>
        <v>Asia Pacific</v>
      </c>
      <c r="I5" s="27">
        <f>Dataset!J17</f>
        <v>9</v>
      </c>
      <c r="J5" s="27">
        <f t="shared" si="0"/>
        <v>1.1537500000000005</v>
      </c>
      <c r="K5" s="27">
        <f t="shared" si="1"/>
        <v>1.3311390625000012</v>
      </c>
    </row>
    <row r="6" spans="1:11" ht="25.05" customHeight="1" x14ac:dyDescent="0.3">
      <c r="A6" s="30" t="s">
        <v>88</v>
      </c>
      <c r="B6" s="31" t="s">
        <v>111</v>
      </c>
      <c r="H6" s="27" t="str">
        <f>[1]Dataset!C44</f>
        <v>Asia Pacific</v>
      </c>
      <c r="I6" s="27">
        <f>Dataset!J18</f>
        <v>8.6999999999999993</v>
      </c>
      <c r="J6" s="27">
        <f t="shared" si="0"/>
        <v>0.85374999999999979</v>
      </c>
      <c r="K6" s="27">
        <f t="shared" si="1"/>
        <v>0.72888906249999963</v>
      </c>
    </row>
    <row r="7" spans="1:11" x14ac:dyDescent="0.3">
      <c r="H7" s="27" t="str">
        <f>[1]Dataset!C45</f>
        <v>Asia Pacific</v>
      </c>
      <c r="I7" s="27">
        <f>Dataset!J19</f>
        <v>6.9</v>
      </c>
      <c r="J7" s="27">
        <f t="shared" si="0"/>
        <v>-0.94624999999999915</v>
      </c>
      <c r="K7" s="27">
        <f t="shared" si="1"/>
        <v>0.89538906249999839</v>
      </c>
    </row>
    <row r="8" spans="1:11" x14ac:dyDescent="0.3">
      <c r="A8" s="55" t="s">
        <v>89</v>
      </c>
      <c r="B8" s="49"/>
      <c r="C8" s="49"/>
      <c r="H8" s="27" t="str">
        <f>[1]Dataset!C46</f>
        <v>Asia Pacific</v>
      </c>
      <c r="I8" s="27">
        <f>Dataset!J20</f>
        <v>7.8</v>
      </c>
      <c r="J8" s="27">
        <f t="shared" si="0"/>
        <v>-4.624999999999968E-2</v>
      </c>
      <c r="K8" s="27">
        <f t="shared" si="1"/>
        <v>2.1390624999999704E-3</v>
      </c>
    </row>
    <row r="9" spans="1:11" x14ac:dyDescent="0.3">
      <c r="A9" s="33" t="s">
        <v>9</v>
      </c>
      <c r="B9" s="33" t="s">
        <v>90</v>
      </c>
      <c r="C9" s="33" t="s">
        <v>91</v>
      </c>
      <c r="H9" s="27" t="str">
        <f>[1]Dataset!C47</f>
        <v>Asia Pacific</v>
      </c>
      <c r="I9" s="27">
        <f>Dataset!J21</f>
        <v>6</v>
      </c>
      <c r="J9" s="27">
        <f t="shared" si="0"/>
        <v>-1.8462499999999995</v>
      </c>
      <c r="K9" s="27">
        <f t="shared" si="1"/>
        <v>3.408639062499998</v>
      </c>
    </row>
    <row r="10" spans="1:11" x14ac:dyDescent="0.3">
      <c r="A10" s="27" t="s">
        <v>55</v>
      </c>
      <c r="B10" s="27">
        <f>COUNTIFS(Dataset!$C$3:$C$241,A10,Dataset!$F$3:$F$241,"Enterprise")</f>
        <v>16</v>
      </c>
      <c r="C10" s="28">
        <f>AVERAGEIFS([1]Dataset!$J$3:$J$241,[1]Dataset!$C$3:$C$241,A10,[1]Dataset!$F$3:$F$241,"Enterprise")</f>
        <v>7.65</v>
      </c>
      <c r="H10" s="27" t="str">
        <f>[1]Dataset!C76</f>
        <v>Asia Pacific</v>
      </c>
      <c r="I10" s="27">
        <f>Dataset!J22</f>
        <v>8.8000000000000007</v>
      </c>
      <c r="J10" s="27">
        <f t="shared" si="0"/>
        <v>0.95375000000000121</v>
      </c>
      <c r="K10" s="27">
        <f t="shared" si="1"/>
        <v>0.90963906250000226</v>
      </c>
    </row>
    <row r="11" spans="1:11" x14ac:dyDescent="0.3">
      <c r="A11" s="27" t="s">
        <v>52</v>
      </c>
      <c r="B11" s="27">
        <f>COUNTIFS(Dataset!$C$3:$C$241,A11,Dataset!$F$3:$F$241,"Enterprise")</f>
        <v>17</v>
      </c>
      <c r="C11" s="28">
        <f>AVERAGEIFS([1]Dataset!$J$3:$J$241,[1]Dataset!$C$3:$C$241,A11,[1]Dataset!$F$3:$F$241,"Enterprise")</f>
        <v>7.9411764705882355</v>
      </c>
      <c r="H11" s="27" t="str">
        <f>[1]Dataset!C77</f>
        <v>Asia Pacific</v>
      </c>
      <c r="I11" s="27">
        <f>Dataset!J23</f>
        <v>6.2</v>
      </c>
      <c r="J11" s="27">
        <f t="shared" si="0"/>
        <v>-1.6462499999999993</v>
      </c>
      <c r="K11" s="27">
        <f t="shared" si="1"/>
        <v>2.7101390624999979</v>
      </c>
    </row>
    <row r="12" spans="1:11" x14ac:dyDescent="0.3">
      <c r="A12" s="27" t="s">
        <v>58</v>
      </c>
      <c r="B12" s="27">
        <f>COUNTIFS(Dataset!$C$3:$C$241,A12,Dataset!$F$3:$F$241,"Enterprise")</f>
        <v>16</v>
      </c>
      <c r="C12" s="28">
        <f>AVERAGEIFS([1]Dataset!$J$3:$J$241,[1]Dataset!$C$3:$C$241,A12,[1]Dataset!$F$3:$F$241,"Enterprise")</f>
        <v>8.0562500000000004</v>
      </c>
      <c r="H12" s="27" t="str">
        <f>[1]Dataset!C105</f>
        <v>Asia Pacific</v>
      </c>
      <c r="I12" s="27">
        <f>Dataset!J24</f>
        <v>9.1</v>
      </c>
      <c r="J12" s="27">
        <f t="shared" si="0"/>
        <v>1.2537500000000001</v>
      </c>
      <c r="K12" s="27">
        <f t="shared" si="1"/>
        <v>1.5718890625000004</v>
      </c>
    </row>
    <row r="13" spans="1:11" x14ac:dyDescent="0.3">
      <c r="A13" s="27" t="s">
        <v>59</v>
      </c>
      <c r="B13" s="27">
        <f>COUNTIFS(Dataset!$C$3:$C$241,A13,Dataset!$F$3:$F$241,"Enterprise")</f>
        <v>15</v>
      </c>
      <c r="C13" s="28">
        <f>AVERAGEIFS([1]Dataset!$J$3:$J$241,[1]Dataset!$C$3:$C$241,A13,[1]Dataset!$F$3:$F$241,"Enterprise")</f>
        <v>7.6</v>
      </c>
      <c r="H13" s="27" t="str">
        <f>[1]Dataset!C134</f>
        <v>Asia Pacific</v>
      </c>
      <c r="I13" s="27">
        <f>Dataset!J25</f>
        <v>9.1</v>
      </c>
      <c r="J13" s="27">
        <f t="shared" si="0"/>
        <v>1.2537500000000001</v>
      </c>
      <c r="K13" s="27">
        <f t="shared" si="1"/>
        <v>1.5718890625000004</v>
      </c>
    </row>
    <row r="14" spans="1:11" x14ac:dyDescent="0.3">
      <c r="A14" s="27" t="s">
        <v>29</v>
      </c>
      <c r="B14" s="27">
        <f>COUNTIFS(Dataset!$C$3:$C$241,A14,Dataset!$F$3:$F$241,"Enterprise")</f>
        <v>16</v>
      </c>
      <c r="C14" s="28">
        <f>AVERAGEIFS([1]Dataset!$J$3:$J$241,[1]Dataset!$C$3:$C$241,A14,[1]Dataset!$F$3:$F$241,"Enterprise")</f>
        <v>7.9625000000000004</v>
      </c>
      <c r="H14" s="27" t="str">
        <f>[1]Dataset!C164</f>
        <v>Asia Pacific</v>
      </c>
      <c r="I14" s="27">
        <f>Dataset!J26</f>
        <v>6.8</v>
      </c>
      <c r="J14" s="27">
        <f t="shared" si="0"/>
        <v>-1.0462499999999997</v>
      </c>
      <c r="K14" s="27">
        <f t="shared" si="1"/>
        <v>1.0946390624999993</v>
      </c>
    </row>
    <row r="15" spans="1:11" x14ac:dyDescent="0.3">
      <c r="H15" s="27" t="str">
        <f>[1]Dataset!C167</f>
        <v>Asia Pacific</v>
      </c>
      <c r="I15" s="27">
        <f>Dataset!J27</f>
        <v>6.8</v>
      </c>
      <c r="J15" s="27">
        <f t="shared" si="0"/>
        <v>-1.0462499999999997</v>
      </c>
      <c r="K15" s="27">
        <f t="shared" si="1"/>
        <v>1.0946390624999993</v>
      </c>
    </row>
    <row r="16" spans="1:11" x14ac:dyDescent="0.3">
      <c r="A16" s="29" t="s">
        <v>112</v>
      </c>
      <c r="B16" s="27">
        <f>SUM(B10:B14)</f>
        <v>80</v>
      </c>
      <c r="C16" s="28">
        <f>SUMPRODUCT(B10:B14,C10:C14)/B16</f>
        <v>7.8462499999999995</v>
      </c>
      <c r="H16" s="27" t="str">
        <f>[1]Dataset!C195</f>
        <v>Asia Pacific</v>
      </c>
      <c r="I16" s="27">
        <f>Dataset!J28</f>
        <v>8.6999999999999993</v>
      </c>
      <c r="J16" s="27">
        <f t="shared" si="0"/>
        <v>0.85374999999999979</v>
      </c>
      <c r="K16" s="27">
        <f t="shared" si="1"/>
        <v>0.72888906249999963</v>
      </c>
    </row>
    <row r="17" spans="1:11" x14ac:dyDescent="0.3">
      <c r="H17" s="27" t="str">
        <f>[1]Dataset!C197</f>
        <v>Asia Pacific</v>
      </c>
      <c r="I17" s="27">
        <f>Dataset!J29</f>
        <v>7.1</v>
      </c>
      <c r="J17" s="27">
        <f t="shared" si="0"/>
        <v>-0.74624999999999986</v>
      </c>
      <c r="K17" s="27">
        <f t="shared" si="1"/>
        <v>0.55688906249999981</v>
      </c>
    </row>
    <row r="18" spans="1:11" x14ac:dyDescent="0.3">
      <c r="A18" s="55" t="s">
        <v>92</v>
      </c>
      <c r="B18" s="49"/>
      <c r="C18" s="49"/>
      <c r="D18" s="49"/>
      <c r="E18" s="49"/>
      <c r="F18" s="49"/>
      <c r="H18" s="27" t="str">
        <f>[1]Dataset!C224</f>
        <v>Asia Pacific</v>
      </c>
      <c r="I18" s="27">
        <f>Dataset!J30</f>
        <v>7.9</v>
      </c>
      <c r="J18" s="27">
        <f t="shared" si="0"/>
        <v>5.3750000000000853E-2</v>
      </c>
      <c r="K18" s="27">
        <f t="shared" si="1"/>
        <v>2.8890625000000916E-3</v>
      </c>
    </row>
    <row r="19" spans="1:11" x14ac:dyDescent="0.3">
      <c r="A19" s="33" t="s">
        <v>93</v>
      </c>
      <c r="B19" s="33" t="s">
        <v>94</v>
      </c>
      <c r="C19" s="33" t="s">
        <v>95</v>
      </c>
      <c r="D19" s="33" t="s">
        <v>96</v>
      </c>
      <c r="E19" s="33" t="s">
        <v>97</v>
      </c>
      <c r="F19" s="33" t="s">
        <v>98</v>
      </c>
      <c r="H19" s="27" t="str">
        <f>[1]Dataset!C226</f>
        <v>Asia Pacific</v>
      </c>
      <c r="I19" s="27">
        <f>Dataset!J31</f>
        <v>6.1</v>
      </c>
      <c r="J19" s="27">
        <f t="shared" si="0"/>
        <v>-1.7462499999999999</v>
      </c>
      <c r="K19" s="27">
        <f t="shared" si="1"/>
        <v>3.0493890624999995</v>
      </c>
    </row>
    <row r="20" spans="1:11" x14ac:dyDescent="0.3">
      <c r="A20" s="34" t="s">
        <v>99</v>
      </c>
      <c r="B20" s="35">
        <f>SUMPRODUCT(B10:B14,(C10:C14-$C$16)^2)</f>
        <v>2.6008235294117696</v>
      </c>
      <c r="C20" s="34">
        <f>4</f>
        <v>4</v>
      </c>
      <c r="D20" s="35">
        <f>B20/C20</f>
        <v>0.65020588235294241</v>
      </c>
      <c r="E20" s="35">
        <f>D20/D21</f>
        <v>0.58125883333738493</v>
      </c>
      <c r="F20" s="35">
        <f>FDIST(E20,C20,C21)</f>
        <v>0.67712240112336974</v>
      </c>
      <c r="H20" s="27" t="str">
        <f>[1]Dataset!C9</f>
        <v>Europe</v>
      </c>
      <c r="I20" s="27">
        <f>Dataset!J32</f>
        <v>8.6</v>
      </c>
      <c r="J20" s="27">
        <f t="shared" si="0"/>
        <v>0.75375000000000014</v>
      </c>
      <c r="K20" s="27">
        <f t="shared" si="1"/>
        <v>0.56813906250000024</v>
      </c>
    </row>
    <row r="21" spans="1:11" x14ac:dyDescent="0.3">
      <c r="A21" s="34" t="s">
        <v>100</v>
      </c>
      <c r="B21" s="35">
        <f>K84</f>
        <v>85.014875000000018</v>
      </c>
      <c r="C21" s="34">
        <f>B16-C20</f>
        <v>76</v>
      </c>
      <c r="D21" s="35">
        <f>B21/C21</f>
        <v>1.1186167763157897</v>
      </c>
      <c r="E21" s="34"/>
      <c r="F21" s="34"/>
      <c r="H21" s="27" t="str">
        <f>[1]Dataset!C11</f>
        <v>Europe</v>
      </c>
      <c r="I21" s="27">
        <f>Dataset!J33</f>
        <v>8.6</v>
      </c>
      <c r="J21" s="27">
        <f t="shared" si="0"/>
        <v>0.75375000000000014</v>
      </c>
      <c r="K21" s="27">
        <f t="shared" si="1"/>
        <v>0.56813906250000024</v>
      </c>
    </row>
    <row r="22" spans="1:11" x14ac:dyDescent="0.3">
      <c r="A22" s="34" t="s">
        <v>101</v>
      </c>
      <c r="B22" s="35">
        <f>B20+B21</f>
        <v>87.615698529411787</v>
      </c>
      <c r="C22" s="34">
        <f>C20+C21</f>
        <v>80</v>
      </c>
      <c r="D22" s="34"/>
      <c r="E22" s="34"/>
      <c r="F22" s="34"/>
      <c r="H22" s="27" t="str">
        <f>[1]Dataset!C12</f>
        <v>Europe</v>
      </c>
      <c r="I22" s="27">
        <f>Dataset!J34</f>
        <v>6.2</v>
      </c>
      <c r="J22" s="27">
        <f t="shared" si="0"/>
        <v>-1.6462499999999993</v>
      </c>
      <c r="K22" s="27">
        <f t="shared" si="1"/>
        <v>2.7101390624999979</v>
      </c>
    </row>
    <row r="23" spans="1:11" x14ac:dyDescent="0.3">
      <c r="H23" s="27" t="str">
        <f>[1]Dataset!C39</f>
        <v>Europe</v>
      </c>
      <c r="I23" s="27">
        <f>Dataset!J35</f>
        <v>9.4</v>
      </c>
      <c r="J23" s="27">
        <f t="shared" si="0"/>
        <v>1.5537500000000009</v>
      </c>
      <c r="K23" s="27">
        <f t="shared" si="1"/>
        <v>2.4141390625000025</v>
      </c>
    </row>
    <row r="24" spans="1:11" x14ac:dyDescent="0.3">
      <c r="H24" s="27" t="str">
        <f>[1]Dataset!C40</f>
        <v>Europe</v>
      </c>
      <c r="I24" s="27">
        <f>Dataset!J36</f>
        <v>7.9</v>
      </c>
      <c r="J24" s="27">
        <f t="shared" si="0"/>
        <v>5.3750000000000853E-2</v>
      </c>
      <c r="K24" s="27">
        <f t="shared" si="1"/>
        <v>2.8890625000000916E-3</v>
      </c>
    </row>
    <row r="25" spans="1:11" x14ac:dyDescent="0.3">
      <c r="A25" s="55" t="s">
        <v>113</v>
      </c>
      <c r="B25" s="49"/>
      <c r="C25" s="49"/>
      <c r="D25" s="49"/>
      <c r="E25" s="49"/>
      <c r="F25" s="49"/>
      <c r="H25" s="27" t="str">
        <f>[1]Dataset!C69</f>
        <v>Europe</v>
      </c>
      <c r="I25" s="27">
        <f>Dataset!J37</f>
        <v>6.2</v>
      </c>
      <c r="J25" s="27">
        <f t="shared" si="0"/>
        <v>-1.6462499999999993</v>
      </c>
      <c r="K25" s="27">
        <f t="shared" si="1"/>
        <v>2.7101390624999979</v>
      </c>
    </row>
    <row r="26" spans="1:11" x14ac:dyDescent="0.3">
      <c r="A26" s="50" t="s">
        <v>114</v>
      </c>
      <c r="B26" s="49"/>
      <c r="C26" s="49"/>
      <c r="D26" s="49"/>
      <c r="E26" s="49"/>
      <c r="F26" s="49"/>
      <c r="H26" s="27" t="str">
        <f>[1]Dataset!C70</f>
        <v>Europe</v>
      </c>
      <c r="I26" s="27">
        <f>Dataset!J38</f>
        <v>7.4</v>
      </c>
      <c r="J26" s="27">
        <f t="shared" si="0"/>
        <v>-0.44624999999999915</v>
      </c>
      <c r="K26" s="27">
        <f t="shared" si="1"/>
        <v>0.19913906249999924</v>
      </c>
    </row>
    <row r="27" spans="1:11" x14ac:dyDescent="0.3">
      <c r="A27" s="50" t="s">
        <v>115</v>
      </c>
      <c r="B27" s="49"/>
      <c r="C27" s="49"/>
      <c r="D27" s="49"/>
      <c r="E27" s="49"/>
      <c r="F27" s="49"/>
      <c r="H27" s="27" t="str">
        <f>[1]Dataset!C99</f>
        <v>Europe</v>
      </c>
      <c r="I27" s="27">
        <f>Dataset!J39</f>
        <v>9.3000000000000007</v>
      </c>
      <c r="J27" s="27">
        <f t="shared" si="0"/>
        <v>1.4537500000000012</v>
      </c>
      <c r="K27" s="27">
        <f t="shared" si="1"/>
        <v>2.1133890625000036</v>
      </c>
    </row>
    <row r="28" spans="1:11" x14ac:dyDescent="0.3">
      <c r="A28" s="50" t="s">
        <v>116</v>
      </c>
      <c r="B28" s="49"/>
      <c r="C28" s="49"/>
      <c r="D28" s="49"/>
      <c r="E28" s="49"/>
      <c r="F28" s="49"/>
      <c r="H28" s="27" t="str">
        <f>[1]Dataset!C101</f>
        <v>Europe</v>
      </c>
      <c r="I28" s="27">
        <f>Dataset!J40</f>
        <v>8.3000000000000007</v>
      </c>
      <c r="J28" s="27">
        <f t="shared" si="0"/>
        <v>0.45375000000000121</v>
      </c>
      <c r="K28" s="27">
        <f t="shared" si="1"/>
        <v>0.20588906250000111</v>
      </c>
    </row>
    <row r="29" spans="1:11" x14ac:dyDescent="0.3">
      <c r="A29" s="50" t="s">
        <v>117</v>
      </c>
      <c r="B29" s="49"/>
      <c r="C29" s="49"/>
      <c r="D29" s="49"/>
      <c r="E29" s="49"/>
      <c r="F29" s="49"/>
      <c r="H29" s="27" t="str">
        <f>[1]Dataset!C131</f>
        <v>Europe</v>
      </c>
      <c r="I29" s="27">
        <f>Dataset!J41</f>
        <v>7</v>
      </c>
      <c r="J29" s="27">
        <f t="shared" si="0"/>
        <v>-0.8462499999999995</v>
      </c>
      <c r="K29" s="27">
        <f t="shared" si="1"/>
        <v>0.71613906249999915</v>
      </c>
    </row>
    <row r="30" spans="1:11" x14ac:dyDescent="0.3">
      <c r="A30" s="50" t="s">
        <v>118</v>
      </c>
      <c r="B30" s="49"/>
      <c r="C30" s="49"/>
      <c r="D30" s="49"/>
      <c r="E30" s="49"/>
      <c r="F30" s="49"/>
      <c r="H30" s="27" t="str">
        <f>[1]Dataset!C160</f>
        <v>Europe</v>
      </c>
      <c r="I30" s="27">
        <f>Dataset!J42</f>
        <v>9.1</v>
      </c>
      <c r="J30" s="27">
        <f t="shared" si="0"/>
        <v>1.2537500000000001</v>
      </c>
      <c r="K30" s="27">
        <f t="shared" si="1"/>
        <v>1.5718890625000004</v>
      </c>
    </row>
    <row r="31" spans="1:11" x14ac:dyDescent="0.3">
      <c r="H31" s="27" t="str">
        <f>[1]Dataset!C161</f>
        <v>Europe</v>
      </c>
      <c r="I31" s="27">
        <f>Dataset!J43</f>
        <v>8.1</v>
      </c>
      <c r="J31" s="27">
        <f t="shared" si="0"/>
        <v>0.25375000000000014</v>
      </c>
      <c r="K31" s="27">
        <f t="shared" si="1"/>
        <v>6.4389062500000066E-2</v>
      </c>
    </row>
    <row r="32" spans="1:11" x14ac:dyDescent="0.3">
      <c r="A32" s="36" t="s">
        <v>102</v>
      </c>
      <c r="B32" s="37"/>
      <c r="C32" s="37"/>
      <c r="H32" s="27" t="str">
        <f>[1]Dataset!C188</f>
        <v>Europe</v>
      </c>
      <c r="I32" s="27">
        <f>Dataset!J44</f>
        <v>9.1999999999999993</v>
      </c>
      <c r="J32" s="27">
        <f t="shared" si="0"/>
        <v>1.3537499999999998</v>
      </c>
      <c r="K32" s="27">
        <f t="shared" si="1"/>
        <v>1.8326390624999995</v>
      </c>
    </row>
    <row r="33" spans="1:11" x14ac:dyDescent="0.3">
      <c r="A33" s="38" t="s">
        <v>103</v>
      </c>
      <c r="B33" s="51" t="s">
        <v>104</v>
      </c>
      <c r="C33" s="49"/>
      <c r="D33" s="49"/>
      <c r="E33" s="49"/>
      <c r="F33" s="49"/>
      <c r="H33" s="27" t="str">
        <f>[1]Dataset!C190</f>
        <v>Europe</v>
      </c>
      <c r="I33" s="27">
        <f>Dataset!J45</f>
        <v>8.6999999999999993</v>
      </c>
      <c r="J33" s="27">
        <f t="shared" si="0"/>
        <v>0.85374999999999979</v>
      </c>
      <c r="K33" s="27">
        <f t="shared" si="1"/>
        <v>0.72888906249999963</v>
      </c>
    </row>
    <row r="34" spans="1:11" ht="52.05" customHeight="1" x14ac:dyDescent="0.3">
      <c r="A34" s="38" t="s">
        <v>105</v>
      </c>
      <c r="B34" s="48" t="s">
        <v>119</v>
      </c>
      <c r="C34" s="52"/>
      <c r="H34" s="27" t="str">
        <f>[1]Dataset!C191</f>
        <v>Europe</v>
      </c>
      <c r="I34" s="27">
        <f>Dataset!J46</f>
        <v>6.3</v>
      </c>
      <c r="J34" s="27">
        <f t="shared" si="0"/>
        <v>-1.5462499999999997</v>
      </c>
      <c r="K34" s="27">
        <f t="shared" si="1"/>
        <v>2.390889062499999</v>
      </c>
    </row>
    <row r="35" spans="1:11" ht="58.5" customHeight="1" x14ac:dyDescent="0.3">
      <c r="A35" s="38" t="s">
        <v>106</v>
      </c>
      <c r="B35" s="48" t="s">
        <v>120</v>
      </c>
      <c r="C35" s="49"/>
      <c r="H35" s="27" t="str">
        <f>[1]Dataset!C218</f>
        <v>Europe</v>
      </c>
      <c r="I35" s="27">
        <f>Dataset!J47</f>
        <v>6.4</v>
      </c>
      <c r="J35" s="27">
        <f t="shared" si="0"/>
        <v>-1.4462499999999991</v>
      </c>
      <c r="K35" s="27">
        <f t="shared" si="1"/>
        <v>2.0916390624999974</v>
      </c>
    </row>
    <row r="36" spans="1:11" x14ac:dyDescent="0.3">
      <c r="H36" s="27" t="str">
        <f>[1]Dataset!C221</f>
        <v>Europe</v>
      </c>
      <c r="I36" s="27">
        <f>Dataset!J48</f>
        <v>8.6999999999999993</v>
      </c>
      <c r="J36" s="27">
        <f t="shared" si="0"/>
        <v>0.85374999999999979</v>
      </c>
      <c r="K36" s="27">
        <f t="shared" si="1"/>
        <v>0.72888906249999963</v>
      </c>
    </row>
    <row r="37" spans="1:11" x14ac:dyDescent="0.3">
      <c r="H37" s="27" t="str">
        <f>[1]Dataset!C23</f>
        <v>Latin America</v>
      </c>
      <c r="I37" s="27">
        <f>Dataset!J49</f>
        <v>6.6</v>
      </c>
      <c r="J37" s="27">
        <f t="shared" si="0"/>
        <v>-1.2462499999999999</v>
      </c>
      <c r="K37" s="27">
        <f t="shared" si="1"/>
        <v>1.5531390624999997</v>
      </c>
    </row>
    <row r="38" spans="1:11" x14ac:dyDescent="0.3">
      <c r="H38" s="27" t="str">
        <f>[1]Dataset!C24</f>
        <v>Latin America</v>
      </c>
      <c r="I38" s="27">
        <f>Dataset!J50</f>
        <v>8.3000000000000007</v>
      </c>
      <c r="J38" s="27">
        <f t="shared" si="0"/>
        <v>0.45375000000000121</v>
      </c>
      <c r="K38" s="27">
        <f t="shared" si="1"/>
        <v>0.20588906250000111</v>
      </c>
    </row>
    <row r="39" spans="1:11" x14ac:dyDescent="0.3">
      <c r="H39" s="27" t="str">
        <f>[1]Dataset!C50</f>
        <v>Latin America</v>
      </c>
      <c r="I39" s="27">
        <f>Dataset!J51</f>
        <v>9</v>
      </c>
      <c r="J39" s="27">
        <f t="shared" si="0"/>
        <v>1.1537500000000005</v>
      </c>
      <c r="K39" s="27">
        <f t="shared" si="1"/>
        <v>1.3311390625000012</v>
      </c>
    </row>
    <row r="40" spans="1:11" x14ac:dyDescent="0.3">
      <c r="H40" s="27" t="str">
        <f>[1]Dataset!C51</f>
        <v>Latin America</v>
      </c>
      <c r="I40" s="27">
        <f>Dataset!J52</f>
        <v>8.3000000000000007</v>
      </c>
      <c r="J40" s="27">
        <f t="shared" si="0"/>
        <v>0.45375000000000121</v>
      </c>
      <c r="K40" s="27">
        <f t="shared" si="1"/>
        <v>0.20588906250000111</v>
      </c>
    </row>
    <row r="41" spans="1:11" x14ac:dyDescent="0.3">
      <c r="H41" s="27" t="str">
        <f>[1]Dataset!C80</f>
        <v>Latin America</v>
      </c>
      <c r="I41" s="27">
        <f>Dataset!J53</f>
        <v>8.1999999999999993</v>
      </c>
      <c r="J41" s="27">
        <f t="shared" si="0"/>
        <v>0.35374999999999979</v>
      </c>
      <c r="K41" s="27">
        <f t="shared" si="1"/>
        <v>0.12513906249999984</v>
      </c>
    </row>
    <row r="42" spans="1:11" x14ac:dyDescent="0.3">
      <c r="H42" s="27" t="str">
        <f>[1]Dataset!C82</f>
        <v>Latin America</v>
      </c>
      <c r="I42" s="27">
        <f>Dataset!J54</f>
        <v>6.9</v>
      </c>
      <c r="J42" s="27">
        <f t="shared" si="0"/>
        <v>-0.94624999999999915</v>
      </c>
      <c r="K42" s="27">
        <f t="shared" si="1"/>
        <v>0.89538906249999839</v>
      </c>
    </row>
    <row r="43" spans="1:11" x14ac:dyDescent="0.3">
      <c r="H43" s="27" t="str">
        <f>[1]Dataset!C83</f>
        <v>Latin America</v>
      </c>
      <c r="I43" s="27">
        <f>Dataset!J55</f>
        <v>9.4</v>
      </c>
      <c r="J43" s="27">
        <f t="shared" si="0"/>
        <v>1.5537500000000009</v>
      </c>
      <c r="K43" s="27">
        <f t="shared" si="1"/>
        <v>2.4141390625000025</v>
      </c>
    </row>
    <row r="44" spans="1:11" x14ac:dyDescent="0.3">
      <c r="H44" s="27" t="str">
        <f>[1]Dataset!C111</f>
        <v>Latin America</v>
      </c>
      <c r="I44" s="27">
        <f>Dataset!J56</f>
        <v>7.5</v>
      </c>
      <c r="J44" s="27">
        <f t="shared" si="0"/>
        <v>-0.3462499999999995</v>
      </c>
      <c r="K44" s="27">
        <f t="shared" si="1"/>
        <v>0.11988906249999966</v>
      </c>
    </row>
    <row r="45" spans="1:11" x14ac:dyDescent="0.3">
      <c r="H45" s="27" t="str">
        <f>[1]Dataset!C113</f>
        <v>Latin America</v>
      </c>
      <c r="I45" s="27">
        <f>Dataset!J57</f>
        <v>6.7</v>
      </c>
      <c r="J45" s="27">
        <f t="shared" si="0"/>
        <v>-1.1462499999999993</v>
      </c>
      <c r="K45" s="27">
        <f t="shared" si="1"/>
        <v>1.3138890624999984</v>
      </c>
    </row>
    <row r="46" spans="1:11" x14ac:dyDescent="0.3">
      <c r="H46" s="27" t="str">
        <f>[1]Dataset!C140</f>
        <v>Latin America</v>
      </c>
      <c r="I46" s="27">
        <f>Dataset!J58</f>
        <v>6.3</v>
      </c>
      <c r="J46" s="27">
        <f t="shared" si="0"/>
        <v>-1.5462499999999997</v>
      </c>
      <c r="K46" s="27">
        <f t="shared" si="1"/>
        <v>2.390889062499999</v>
      </c>
    </row>
    <row r="47" spans="1:11" x14ac:dyDescent="0.3">
      <c r="H47" s="27" t="str">
        <f>[1]Dataset!C170</f>
        <v>Latin America</v>
      </c>
      <c r="I47" s="27">
        <f>Dataset!J59</f>
        <v>7.5</v>
      </c>
      <c r="J47" s="27">
        <f t="shared" si="0"/>
        <v>-0.3462499999999995</v>
      </c>
      <c r="K47" s="27">
        <f t="shared" si="1"/>
        <v>0.11988906249999966</v>
      </c>
    </row>
    <row r="48" spans="1:11" x14ac:dyDescent="0.3">
      <c r="H48" s="27" t="str">
        <f>[1]Dataset!C173</f>
        <v>Latin America</v>
      </c>
      <c r="I48" s="27">
        <f>Dataset!J60</f>
        <v>7.1</v>
      </c>
      <c r="J48" s="27">
        <f t="shared" si="0"/>
        <v>-0.74624999999999986</v>
      </c>
      <c r="K48" s="27">
        <f t="shared" si="1"/>
        <v>0.55688906249999981</v>
      </c>
    </row>
    <row r="49" spans="8:11" x14ac:dyDescent="0.3">
      <c r="H49" s="27" t="str">
        <f>[1]Dataset!C200</f>
        <v>Latin America</v>
      </c>
      <c r="I49" s="27">
        <f>Dataset!J61</f>
        <v>7.9</v>
      </c>
      <c r="J49" s="27">
        <f t="shared" si="0"/>
        <v>5.3750000000000853E-2</v>
      </c>
      <c r="K49" s="27">
        <f t="shared" si="1"/>
        <v>2.8890625000000916E-3</v>
      </c>
    </row>
    <row r="50" spans="8:11" x14ac:dyDescent="0.3">
      <c r="H50" s="27" t="str">
        <f>[1]Dataset!C231</f>
        <v>Latin America</v>
      </c>
      <c r="I50" s="27">
        <f>Dataset!J62</f>
        <v>6.7</v>
      </c>
      <c r="J50" s="27">
        <f t="shared" si="0"/>
        <v>-1.1462499999999993</v>
      </c>
      <c r="K50" s="27">
        <f t="shared" si="1"/>
        <v>1.3138890624999984</v>
      </c>
    </row>
    <row r="51" spans="8:11" x14ac:dyDescent="0.3">
      <c r="H51" s="27" t="str">
        <f>[1]Dataset!C232</f>
        <v>Latin America</v>
      </c>
      <c r="I51" s="27">
        <f>Dataset!J63</f>
        <v>7.6</v>
      </c>
      <c r="J51" s="27">
        <f t="shared" si="0"/>
        <v>-0.24624999999999986</v>
      </c>
      <c r="K51" s="27">
        <f t="shared" si="1"/>
        <v>6.0639062499999931E-2</v>
      </c>
    </row>
    <row r="52" spans="8:11" x14ac:dyDescent="0.3">
      <c r="H52" s="27" t="str">
        <f>[1]Dataset!C233</f>
        <v>Latin America</v>
      </c>
      <c r="I52" s="27">
        <f>Dataset!J64</f>
        <v>8.6</v>
      </c>
      <c r="J52" s="27">
        <f t="shared" si="0"/>
        <v>0.75375000000000014</v>
      </c>
      <c r="K52" s="27">
        <f t="shared" si="1"/>
        <v>0.56813906250000024</v>
      </c>
    </row>
    <row r="53" spans="8:11" x14ac:dyDescent="0.3">
      <c r="H53" s="27" t="str">
        <f>[1]Dataset!C27</f>
        <v>Middle East &amp; Africa</v>
      </c>
      <c r="I53" s="27">
        <f>Dataset!J65</f>
        <v>7.6</v>
      </c>
      <c r="J53" s="27">
        <f t="shared" si="0"/>
        <v>-0.24624999999999986</v>
      </c>
      <c r="K53" s="27">
        <f t="shared" si="1"/>
        <v>6.0639062499999931E-2</v>
      </c>
    </row>
    <row r="54" spans="8:11" x14ac:dyDescent="0.3">
      <c r="H54" s="27" t="str">
        <f>[1]Dataset!C28</f>
        <v>Middle East &amp; Africa</v>
      </c>
      <c r="I54" s="27">
        <f>Dataset!J66</f>
        <v>8.1</v>
      </c>
      <c r="J54" s="27">
        <f t="shared" si="0"/>
        <v>0.25375000000000014</v>
      </c>
      <c r="K54" s="27">
        <f t="shared" si="1"/>
        <v>6.4389062500000066E-2</v>
      </c>
    </row>
    <row r="55" spans="8:11" x14ac:dyDescent="0.3">
      <c r="H55" s="27" t="str">
        <f>[1]Dataset!C29</f>
        <v>Middle East &amp; Africa</v>
      </c>
      <c r="I55" s="27">
        <f>Dataset!J67</f>
        <v>7.9</v>
      </c>
      <c r="J55" s="27">
        <f t="shared" si="0"/>
        <v>5.3750000000000853E-2</v>
      </c>
      <c r="K55" s="27">
        <f t="shared" si="1"/>
        <v>2.8890625000000916E-3</v>
      </c>
    </row>
    <row r="56" spans="8:11" x14ac:dyDescent="0.3">
      <c r="H56" s="27" t="str">
        <f>[1]Dataset!C56</f>
        <v>Middle East &amp; Africa</v>
      </c>
      <c r="I56" s="27">
        <f>Dataset!J68</f>
        <v>7.8</v>
      </c>
      <c r="J56" s="27">
        <f t="shared" si="0"/>
        <v>-4.624999999999968E-2</v>
      </c>
      <c r="K56" s="27">
        <f t="shared" si="1"/>
        <v>2.1390624999999704E-3</v>
      </c>
    </row>
    <row r="57" spans="8:11" x14ac:dyDescent="0.3">
      <c r="H57" s="27" t="str">
        <f>[1]Dataset!C57</f>
        <v>Middle East &amp; Africa</v>
      </c>
      <c r="I57" s="27">
        <f>Dataset!J69</f>
        <v>7.1</v>
      </c>
      <c r="J57" s="27">
        <f t="shared" si="0"/>
        <v>-0.74624999999999986</v>
      </c>
      <c r="K57" s="27">
        <f t="shared" si="1"/>
        <v>0.55688906249999981</v>
      </c>
    </row>
    <row r="58" spans="8:11" x14ac:dyDescent="0.3">
      <c r="H58" s="27" t="str">
        <f>[1]Dataset!C116</f>
        <v>Middle East &amp; Africa</v>
      </c>
      <c r="I58" s="27">
        <f>Dataset!J70</f>
        <v>7.5</v>
      </c>
      <c r="J58" s="27">
        <f t="shared" si="0"/>
        <v>-0.3462499999999995</v>
      </c>
      <c r="K58" s="27">
        <f t="shared" si="1"/>
        <v>0.11988906249999966</v>
      </c>
    </row>
    <row r="59" spans="8:11" x14ac:dyDescent="0.3">
      <c r="H59" s="27" t="str">
        <f>[1]Dataset!C117</f>
        <v>Middle East &amp; Africa</v>
      </c>
      <c r="I59" s="27">
        <f>Dataset!J71</f>
        <v>9.1999999999999993</v>
      </c>
      <c r="J59" s="27">
        <f t="shared" si="0"/>
        <v>1.3537499999999998</v>
      </c>
      <c r="K59" s="27">
        <f t="shared" si="1"/>
        <v>1.8326390624999995</v>
      </c>
    </row>
    <row r="60" spans="8:11" x14ac:dyDescent="0.3">
      <c r="H60" s="27" t="str">
        <f>[1]Dataset!C119</f>
        <v>Middle East &amp; Africa</v>
      </c>
      <c r="I60" s="27">
        <f>Dataset!J72</f>
        <v>9.1</v>
      </c>
      <c r="J60" s="27">
        <f t="shared" si="0"/>
        <v>1.2537500000000001</v>
      </c>
      <c r="K60" s="27">
        <f t="shared" si="1"/>
        <v>1.5718890625000004</v>
      </c>
    </row>
    <row r="61" spans="8:11" x14ac:dyDescent="0.3">
      <c r="H61" s="27" t="str">
        <f>[1]Dataset!C147</f>
        <v>Middle East &amp; Africa</v>
      </c>
      <c r="I61" s="27">
        <f>Dataset!J73</f>
        <v>7.7</v>
      </c>
      <c r="J61" s="27">
        <f t="shared" si="0"/>
        <v>-0.14624999999999932</v>
      </c>
      <c r="K61" s="27">
        <f t="shared" si="1"/>
        <v>2.1389062499999802E-2</v>
      </c>
    </row>
    <row r="62" spans="8:11" x14ac:dyDescent="0.3">
      <c r="H62" s="27" t="str">
        <f>[1]Dataset!C176</f>
        <v>Middle East &amp; Africa</v>
      </c>
      <c r="I62" s="27">
        <f>Dataset!J74</f>
        <v>6.6</v>
      </c>
      <c r="J62" s="27">
        <f t="shared" si="0"/>
        <v>-1.2462499999999999</v>
      </c>
      <c r="K62" s="27">
        <f t="shared" si="1"/>
        <v>1.5531390624999997</v>
      </c>
    </row>
    <row r="63" spans="8:11" x14ac:dyDescent="0.3">
      <c r="H63" s="27" t="str">
        <f>[1]Dataset!C178</f>
        <v>Middle East &amp; Africa</v>
      </c>
      <c r="I63" s="27">
        <f>Dataset!J75</f>
        <v>8.1</v>
      </c>
      <c r="J63" s="27">
        <f t="shared" si="0"/>
        <v>0.25375000000000014</v>
      </c>
      <c r="K63" s="27">
        <f t="shared" si="1"/>
        <v>6.4389062500000066E-2</v>
      </c>
    </row>
    <row r="64" spans="8:11" x14ac:dyDescent="0.3">
      <c r="H64" s="27" t="str">
        <f>[1]Dataset!C208</f>
        <v>Middle East &amp; Africa</v>
      </c>
      <c r="I64" s="27">
        <f>Dataset!J76</f>
        <v>7.3</v>
      </c>
      <c r="J64" s="27">
        <f t="shared" si="0"/>
        <v>-0.54624999999999968</v>
      </c>
      <c r="K64" s="27">
        <f t="shared" si="1"/>
        <v>0.29838906249999964</v>
      </c>
    </row>
    <row r="65" spans="8:11" x14ac:dyDescent="0.3">
      <c r="H65" s="27" t="str">
        <f>[1]Dataset!C209</f>
        <v>Middle East &amp; Africa</v>
      </c>
      <c r="I65" s="27">
        <f>Dataset!J77</f>
        <v>9.3000000000000007</v>
      </c>
      <c r="J65" s="27">
        <f t="shared" si="0"/>
        <v>1.4537500000000012</v>
      </c>
      <c r="K65" s="27">
        <f t="shared" si="1"/>
        <v>2.1133890625000036</v>
      </c>
    </row>
    <row r="66" spans="8:11" x14ac:dyDescent="0.3">
      <c r="H66" s="27" t="str">
        <f>[1]Dataset!C236</f>
        <v>Middle East &amp; Africa</v>
      </c>
      <c r="I66" s="27">
        <f>Dataset!J78</f>
        <v>6.8</v>
      </c>
      <c r="J66" s="27">
        <f t="shared" si="0"/>
        <v>-1.0462499999999997</v>
      </c>
      <c r="K66" s="27">
        <f t="shared" si="1"/>
        <v>1.0946390624999993</v>
      </c>
    </row>
    <row r="67" spans="8:11" x14ac:dyDescent="0.3">
      <c r="H67" s="27" t="str">
        <f>[1]Dataset!C238</f>
        <v>Middle East &amp; Africa</v>
      </c>
      <c r="I67" s="27">
        <f>Dataset!J79</f>
        <v>6.7</v>
      </c>
      <c r="J67" s="27">
        <f t="shared" si="0"/>
        <v>-1.1462499999999993</v>
      </c>
      <c r="K67" s="27">
        <f t="shared" si="1"/>
        <v>1.3138890624999984</v>
      </c>
    </row>
    <row r="68" spans="8:11" x14ac:dyDescent="0.3">
      <c r="H68" s="27" t="str">
        <f>[1]Dataset!C3</f>
        <v>North America</v>
      </c>
      <c r="I68" s="27">
        <f>Dataset!J80</f>
        <v>8.4</v>
      </c>
      <c r="J68" s="27">
        <f t="shared" ref="J68:J83" si="2">I68-$C$16</f>
        <v>0.55375000000000085</v>
      </c>
      <c r="K68" s="27">
        <f t="shared" ref="K68:K83" si="3">J68^2</f>
        <v>0.30663906250000095</v>
      </c>
    </row>
    <row r="69" spans="8:11" x14ac:dyDescent="0.3">
      <c r="H69" s="27" t="str">
        <f>[1]Dataset!C4</f>
        <v>North America</v>
      </c>
      <c r="I69" s="27">
        <f>Dataset!J81</f>
        <v>8.9</v>
      </c>
      <c r="J69" s="27">
        <f t="shared" si="2"/>
        <v>1.0537500000000009</v>
      </c>
      <c r="K69" s="27">
        <f t="shared" si="3"/>
        <v>1.1103890625000017</v>
      </c>
    </row>
    <row r="70" spans="8:11" x14ac:dyDescent="0.3">
      <c r="H70" s="27" t="str">
        <f>[1]Dataset!C33</f>
        <v>North America</v>
      </c>
      <c r="I70" s="27">
        <f>Dataset!J82</f>
        <v>9.3000000000000007</v>
      </c>
      <c r="J70" s="27">
        <f t="shared" si="2"/>
        <v>1.4537500000000012</v>
      </c>
      <c r="K70" s="27">
        <f t="shared" si="3"/>
        <v>2.1133890625000036</v>
      </c>
    </row>
    <row r="71" spans="8:11" x14ac:dyDescent="0.3">
      <c r="H71" s="27" t="str">
        <f>[1]Dataset!C34</f>
        <v>North America</v>
      </c>
      <c r="I71" s="27">
        <f>Dataset!J83</f>
        <v>8.6999999999999993</v>
      </c>
      <c r="J71" s="27">
        <f t="shared" si="2"/>
        <v>0.85374999999999979</v>
      </c>
      <c r="K71" s="27">
        <f t="shared" si="3"/>
        <v>0.72888906249999963</v>
      </c>
    </row>
    <row r="72" spans="8:11" x14ac:dyDescent="0.3">
      <c r="H72" s="27" t="str">
        <f>[1]Dataset!C62</f>
        <v>North America</v>
      </c>
      <c r="I72" s="27">
        <f>Dataset!J84</f>
        <v>7.2</v>
      </c>
      <c r="J72" s="27">
        <f t="shared" si="2"/>
        <v>-0.64624999999999932</v>
      </c>
      <c r="K72" s="27">
        <f t="shared" si="3"/>
        <v>0.4176390624999991</v>
      </c>
    </row>
    <row r="73" spans="8:11" x14ac:dyDescent="0.3">
      <c r="H73" s="27" t="str">
        <f>[1]Dataset!C63</f>
        <v>North America</v>
      </c>
      <c r="I73" s="27">
        <f>Dataset!J85</f>
        <v>8.9</v>
      </c>
      <c r="J73" s="27">
        <f t="shared" si="2"/>
        <v>1.0537500000000009</v>
      </c>
      <c r="K73" s="27">
        <f t="shared" si="3"/>
        <v>1.1103890625000017</v>
      </c>
    </row>
    <row r="74" spans="8:11" x14ac:dyDescent="0.3">
      <c r="H74" s="27" t="str">
        <f>[1]Dataset!C65</f>
        <v>North America</v>
      </c>
      <c r="I74" s="27">
        <f>Dataset!J86</f>
        <v>8.8000000000000007</v>
      </c>
      <c r="J74" s="27">
        <f t="shared" si="2"/>
        <v>0.95375000000000121</v>
      </c>
      <c r="K74" s="27">
        <f t="shared" si="3"/>
        <v>0.90963906250000226</v>
      </c>
    </row>
    <row r="75" spans="8:11" x14ac:dyDescent="0.3">
      <c r="H75" s="27" t="str">
        <f>[1]Dataset!C92</f>
        <v>North America</v>
      </c>
      <c r="I75" s="27">
        <f>Dataset!J87</f>
        <v>6.5</v>
      </c>
      <c r="J75" s="27">
        <f t="shared" si="2"/>
        <v>-1.3462499999999995</v>
      </c>
      <c r="K75" s="27">
        <f t="shared" si="3"/>
        <v>1.8123890624999988</v>
      </c>
    </row>
    <row r="76" spans="8:11" x14ac:dyDescent="0.3">
      <c r="H76" s="27" t="str">
        <f>[1]Dataset!C94</f>
        <v>North America</v>
      </c>
      <c r="I76" s="27">
        <f>Dataset!J88</f>
        <v>5.7</v>
      </c>
      <c r="J76" s="27">
        <f t="shared" si="2"/>
        <v>-2.1462499999999993</v>
      </c>
      <c r="K76" s="27">
        <f t="shared" si="3"/>
        <v>4.6063890624999972</v>
      </c>
    </row>
    <row r="77" spans="8:11" x14ac:dyDescent="0.3">
      <c r="H77" s="27" t="str">
        <f>[1]Dataset!C125</f>
        <v>North America</v>
      </c>
      <c r="I77" s="27">
        <f>Dataset!J89</f>
        <v>8.6999999999999993</v>
      </c>
      <c r="J77" s="27">
        <f t="shared" si="2"/>
        <v>0.85374999999999979</v>
      </c>
      <c r="K77" s="27">
        <f t="shared" si="3"/>
        <v>0.72888906249999963</v>
      </c>
    </row>
    <row r="78" spans="8:11" x14ac:dyDescent="0.3">
      <c r="H78" s="27" t="str">
        <f>[1]Dataset!C152</f>
        <v>North America</v>
      </c>
      <c r="I78" s="27">
        <f>Dataset!J90</f>
        <v>7.5</v>
      </c>
      <c r="J78" s="27">
        <f t="shared" si="2"/>
        <v>-0.3462499999999995</v>
      </c>
      <c r="K78" s="27">
        <f t="shared" si="3"/>
        <v>0.11988906249999966</v>
      </c>
    </row>
    <row r="79" spans="8:11" x14ac:dyDescent="0.3">
      <c r="H79" s="27" t="str">
        <f>[1]Dataset!C153</f>
        <v>North America</v>
      </c>
      <c r="I79" s="27">
        <f>Dataset!J91</f>
        <v>5.9</v>
      </c>
      <c r="J79" s="27">
        <f t="shared" si="2"/>
        <v>-1.9462499999999991</v>
      </c>
      <c r="K79" s="27">
        <f t="shared" si="3"/>
        <v>3.7878890624999966</v>
      </c>
    </row>
    <row r="80" spans="8:11" x14ac:dyDescent="0.3">
      <c r="H80" s="27" t="str">
        <f>[1]Dataset!C184</f>
        <v>North America</v>
      </c>
      <c r="I80" s="27">
        <f>Dataset!J92</f>
        <v>7.5</v>
      </c>
      <c r="J80" s="27">
        <f t="shared" si="2"/>
        <v>-0.3462499999999995</v>
      </c>
      <c r="K80" s="27">
        <f t="shared" si="3"/>
        <v>0.11988906249999966</v>
      </c>
    </row>
    <row r="81" spans="8:11" x14ac:dyDescent="0.3">
      <c r="H81" s="27" t="str">
        <f>[1]Dataset!C213</f>
        <v>North America</v>
      </c>
      <c r="I81" s="27">
        <f>Dataset!J93</f>
        <v>8.5</v>
      </c>
      <c r="J81" s="27">
        <f t="shared" si="2"/>
        <v>0.6537500000000005</v>
      </c>
      <c r="K81" s="27">
        <f t="shared" si="3"/>
        <v>0.42738906250000064</v>
      </c>
    </row>
    <row r="82" spans="8:11" x14ac:dyDescent="0.3">
      <c r="H82" s="27" t="str">
        <f>[1]Dataset!C214</f>
        <v>North America</v>
      </c>
      <c r="I82" s="27">
        <f>Dataset!J94</f>
        <v>8.6999999999999993</v>
      </c>
      <c r="J82" s="27">
        <f t="shared" si="2"/>
        <v>0.85374999999999979</v>
      </c>
      <c r="K82" s="27">
        <f t="shared" si="3"/>
        <v>0.72888906249999963</v>
      </c>
    </row>
    <row r="83" spans="8:11" x14ac:dyDescent="0.3">
      <c r="H83" s="27" t="str">
        <f>[1]Dataset!C215</f>
        <v>North America</v>
      </c>
      <c r="I83" s="27">
        <f>Dataset!J95</f>
        <v>7.1</v>
      </c>
      <c r="J83" s="27">
        <f t="shared" si="2"/>
        <v>-0.74624999999999986</v>
      </c>
      <c r="K83" s="27">
        <f t="shared" si="3"/>
        <v>0.55688906249999981</v>
      </c>
    </row>
    <row r="84" spans="8:11" x14ac:dyDescent="0.3">
      <c r="H84" s="29" t="s">
        <v>121</v>
      </c>
      <c r="K84" s="29">
        <f>SUM(K4:K83)</f>
        <v>85.014875000000018</v>
      </c>
    </row>
  </sheetData>
  <mergeCells count="13">
    <mergeCell ref="A26:F26"/>
    <mergeCell ref="A1:F1"/>
    <mergeCell ref="H1:K1"/>
    <mergeCell ref="A8:C8"/>
    <mergeCell ref="A18:F18"/>
    <mergeCell ref="A25:F25"/>
    <mergeCell ref="B35:C35"/>
    <mergeCell ref="A27:F27"/>
    <mergeCell ref="A28:F28"/>
    <mergeCell ref="A29:F29"/>
    <mergeCell ref="A30:F30"/>
    <mergeCell ref="B33:F33"/>
    <mergeCell ref="B34:C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5DD7F-2C37-4CA9-A2C5-3836BA5BF294}">
  <dimension ref="A1:F29"/>
  <sheetViews>
    <sheetView workbookViewId="0">
      <selection activeCell="G7" sqref="G7"/>
    </sheetView>
  </sheetViews>
  <sheetFormatPr defaultRowHeight="14.4" x14ac:dyDescent="0.3"/>
  <cols>
    <col min="1" max="1" width="25" style="26" customWidth="1"/>
    <col min="2" max="2" width="18" style="26" customWidth="1"/>
    <col min="3" max="3" width="21.77734375" style="26" customWidth="1"/>
    <col min="4" max="4" width="44" style="26" customWidth="1"/>
    <col min="5" max="6" width="14" style="26" customWidth="1"/>
  </cols>
  <sheetData>
    <row r="1" spans="1:6" ht="17.399999999999999" x14ac:dyDescent="0.35">
      <c r="A1" s="53" t="s">
        <v>122</v>
      </c>
      <c r="B1" s="49"/>
      <c r="C1" s="49"/>
      <c r="D1" s="49"/>
      <c r="E1" s="49"/>
      <c r="F1" s="49"/>
    </row>
    <row r="2" spans="1:6" ht="4.95" customHeight="1" x14ac:dyDescent="0.3"/>
    <row r="3" spans="1:6" x14ac:dyDescent="0.3">
      <c r="A3" s="39" t="s">
        <v>82</v>
      </c>
      <c r="B3" s="43" t="s">
        <v>123</v>
      </c>
      <c r="C3" s="49"/>
      <c r="D3" s="49"/>
      <c r="E3" s="49"/>
      <c r="F3" s="49"/>
    </row>
    <row r="4" spans="1:6" x14ac:dyDescent="0.3">
      <c r="A4" s="33" t="s">
        <v>124</v>
      </c>
      <c r="B4" s="33" t="s">
        <v>125</v>
      </c>
      <c r="C4" s="33" t="s">
        <v>126</v>
      </c>
    </row>
    <row r="5" spans="1:6" ht="28.8" x14ac:dyDescent="0.3">
      <c r="A5" s="34" t="s">
        <v>127</v>
      </c>
      <c r="B5" s="34" t="s">
        <v>128</v>
      </c>
      <c r="C5" s="34" t="s">
        <v>129</v>
      </c>
    </row>
    <row r="6" spans="1:6" ht="57.6" x14ac:dyDescent="0.3">
      <c r="A6" s="34" t="s">
        <v>130</v>
      </c>
      <c r="B6" s="34" t="s">
        <v>131</v>
      </c>
      <c r="C6" s="34" t="s">
        <v>132</v>
      </c>
    </row>
    <row r="7" spans="1:6" ht="57.6" x14ac:dyDescent="0.3">
      <c r="A7" s="34" t="s">
        <v>133</v>
      </c>
      <c r="B7" s="34" t="s">
        <v>131</v>
      </c>
      <c r="C7" s="34" t="s">
        <v>134</v>
      </c>
    </row>
    <row r="9" spans="1:6" x14ac:dyDescent="0.3">
      <c r="A9" s="58" t="s">
        <v>135</v>
      </c>
      <c r="B9" s="49"/>
      <c r="C9" s="49"/>
      <c r="D9" s="49"/>
    </row>
    <row r="10" spans="1:6" x14ac:dyDescent="0.3">
      <c r="A10" s="33" t="s">
        <v>136</v>
      </c>
      <c r="B10" s="33" t="s">
        <v>137</v>
      </c>
      <c r="C10" s="33" t="s">
        <v>138</v>
      </c>
      <c r="D10" s="33" t="s">
        <v>139</v>
      </c>
    </row>
    <row r="11" spans="1:6" ht="28.8" x14ac:dyDescent="0.3">
      <c r="A11" s="34" t="s">
        <v>130</v>
      </c>
      <c r="B11" s="34" t="s">
        <v>127</v>
      </c>
      <c r="C11" s="40">
        <f>CORREL([1]Dataset!$G$3:$G$241,[1]Dataset!$H$3:$H$241)</f>
        <v>0.67369197865781483</v>
      </c>
      <c r="D11" s="41" t="s">
        <v>140</v>
      </c>
    </row>
    <row r="12" spans="1:6" ht="28.8" x14ac:dyDescent="0.3">
      <c r="A12" s="34" t="s">
        <v>133</v>
      </c>
      <c r="B12" s="34" t="s">
        <v>127</v>
      </c>
      <c r="C12" s="40">
        <f>CORREL([1]Dataset!$I$3:$I$241,[1]Dataset!$H$3:$H$241)</f>
        <v>0.95929987482135004</v>
      </c>
      <c r="D12" s="34" t="s">
        <v>141</v>
      </c>
    </row>
    <row r="14" spans="1:6" x14ac:dyDescent="0.3">
      <c r="A14" s="58" t="s">
        <v>142</v>
      </c>
      <c r="B14" s="49"/>
      <c r="C14" s="49"/>
      <c r="D14" s="49"/>
      <c r="E14" s="49"/>
      <c r="F14" s="49"/>
    </row>
    <row r="15" spans="1:6" x14ac:dyDescent="0.3">
      <c r="A15" s="56" t="s">
        <v>143</v>
      </c>
      <c r="B15" s="49"/>
      <c r="C15" s="49"/>
      <c r="D15" s="49"/>
      <c r="E15" s="49"/>
      <c r="F15" s="49"/>
    </row>
    <row r="16" spans="1:6" x14ac:dyDescent="0.3">
      <c r="A16" s="56" t="s">
        <v>144</v>
      </c>
      <c r="B16" s="49"/>
      <c r="C16" s="49"/>
      <c r="D16" s="49"/>
      <c r="E16" s="49"/>
      <c r="F16" s="49"/>
    </row>
    <row r="17" spans="1:6" x14ac:dyDescent="0.3">
      <c r="A17" s="56" t="s">
        <v>145</v>
      </c>
      <c r="B17" s="49"/>
      <c r="C17" s="49"/>
      <c r="D17" s="49"/>
      <c r="E17" s="49"/>
      <c r="F17" s="49"/>
    </row>
    <row r="18" spans="1:6" x14ac:dyDescent="0.3">
      <c r="A18" s="56" t="s">
        <v>146</v>
      </c>
      <c r="B18" s="49"/>
      <c r="C18" s="49"/>
      <c r="D18" s="49"/>
      <c r="E18" s="49"/>
      <c r="F18" s="49"/>
    </row>
    <row r="20" spans="1:6" x14ac:dyDescent="0.3">
      <c r="A20" s="38" t="s">
        <v>105</v>
      </c>
      <c r="B20" s="51" t="s">
        <v>147</v>
      </c>
      <c r="C20" s="49"/>
      <c r="D20" s="49"/>
      <c r="E20" s="49"/>
      <c r="F20" s="49"/>
    </row>
    <row r="21" spans="1:6" x14ac:dyDescent="0.3">
      <c r="A21" s="38"/>
      <c r="B21" s="51" t="s">
        <v>148</v>
      </c>
      <c r="C21" s="49"/>
      <c r="D21" s="49"/>
      <c r="E21" s="49"/>
      <c r="F21" s="49"/>
    </row>
    <row r="26" spans="1:6" x14ac:dyDescent="0.3">
      <c r="A26" s="57" t="s">
        <v>149</v>
      </c>
      <c r="B26" s="57"/>
      <c r="C26" s="57"/>
    </row>
    <row r="27" spans="1:6" x14ac:dyDescent="0.3">
      <c r="A27" s="57"/>
      <c r="B27" s="57"/>
      <c r="C27" s="57"/>
    </row>
    <row r="28" spans="1:6" x14ac:dyDescent="0.3">
      <c r="A28" s="57"/>
      <c r="B28" s="57"/>
      <c r="C28" s="57"/>
    </row>
    <row r="29" spans="1:6" x14ac:dyDescent="0.3">
      <c r="A29" s="57"/>
      <c r="B29" s="57"/>
      <c r="C29" s="57"/>
    </row>
  </sheetData>
  <mergeCells count="11">
    <mergeCell ref="A16:F16"/>
    <mergeCell ref="A1:F1"/>
    <mergeCell ref="B3:F3"/>
    <mergeCell ref="A9:D9"/>
    <mergeCell ref="A14:F14"/>
    <mergeCell ref="A15:F15"/>
    <mergeCell ref="A17:F17"/>
    <mergeCell ref="A18:F18"/>
    <mergeCell ref="B20:F20"/>
    <mergeCell ref="B21:F21"/>
    <mergeCell ref="A26:C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Business_Case</vt:lpstr>
      <vt:lpstr>Dataset</vt:lpstr>
      <vt:lpstr>Questions</vt:lpstr>
      <vt:lpstr>Pivot</vt:lpstr>
      <vt:lpstr>Deliverable 1 -Dashboard</vt:lpstr>
      <vt:lpstr>Deliverable 2</vt:lpstr>
      <vt:lpstr>Deliverable 3</vt:lpstr>
      <vt:lpstr>'Deliverable 1 -Dashboard'!Print_Area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2026-07-27T06:14:43Z</dcterms:created>
  <dcterms:modified xsi:type="dcterms:W3CDTF">2026-09-13T14:45:15Z</dcterms:modified>
</cp:coreProperties>
</file>